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SHAT\Desktop\"/>
    </mc:Choice>
  </mc:AlternateContent>
  <xr:revisionPtr revIDLastSave="0" documentId="13_ncr:1_{F47FE735-2540-41ED-894A-D6183BD1A18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ttendance_Sheet" sheetId="1" r:id="rId1"/>
    <sheet name="Salary_Sheet" sheetId="3" r:id="rId2"/>
    <sheet name="Salary_Slip" sheetId="6" r:id="rId3"/>
  </sheets>
  <definedNames>
    <definedName name="_xlnm.Print_Area" localSheetId="2">Salary_Slip!$A$1:$H$25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6" l="1"/>
  <c r="AL10" i="1"/>
  <c r="F9" i="6"/>
  <c r="AP11" i="1"/>
  <c r="AP12" i="1"/>
  <c r="AP13" i="1"/>
  <c r="AP14" i="1"/>
  <c r="AP15" i="1"/>
  <c r="AP16" i="1"/>
  <c r="AP17" i="1"/>
  <c r="AP18" i="1"/>
  <c r="AP19" i="1"/>
  <c r="AP20" i="1"/>
  <c r="AP21" i="1"/>
  <c r="AP10" i="1"/>
  <c r="C6" i="6"/>
  <c r="Q7" i="3"/>
  <c r="S7" i="3" s="1"/>
  <c r="Q8" i="3"/>
  <c r="S8" i="3" s="1"/>
  <c r="Q9" i="3"/>
  <c r="S9" i="3" s="1"/>
  <c r="Q10" i="3"/>
  <c r="S10" i="3" s="1"/>
  <c r="Q11" i="3"/>
  <c r="S11" i="3" s="1"/>
  <c r="Q12" i="3"/>
  <c r="S12" i="3" s="1"/>
  <c r="Q13" i="3"/>
  <c r="S13" i="3" s="1"/>
  <c r="Q14" i="3"/>
  <c r="S14" i="3" s="1"/>
  <c r="Q15" i="3"/>
  <c r="S15" i="3" s="1"/>
  <c r="Q16" i="3"/>
  <c r="S16" i="3" s="1"/>
  <c r="Q17" i="3"/>
  <c r="S17" i="3" s="1"/>
  <c r="Q6" i="3"/>
  <c r="S6" i="3" s="1"/>
  <c r="N7" i="3"/>
  <c r="N8" i="3"/>
  <c r="N9" i="3"/>
  <c r="N10" i="3"/>
  <c r="N11" i="3"/>
  <c r="N12" i="3"/>
  <c r="N13" i="3"/>
  <c r="N14" i="3"/>
  <c r="N15" i="3"/>
  <c r="N16" i="3"/>
  <c r="N17" i="3"/>
  <c r="N6" i="3"/>
  <c r="M7" i="3"/>
  <c r="M8" i="3"/>
  <c r="M9" i="3"/>
  <c r="M10" i="3"/>
  <c r="M11" i="3"/>
  <c r="M12" i="3"/>
  <c r="M13" i="3"/>
  <c r="M14" i="3"/>
  <c r="M15" i="3"/>
  <c r="M16" i="3"/>
  <c r="M17" i="3"/>
  <c r="M6" i="3"/>
  <c r="L7" i="3"/>
  <c r="L8" i="3"/>
  <c r="L9" i="3"/>
  <c r="L10" i="3"/>
  <c r="L11" i="3"/>
  <c r="L12" i="3"/>
  <c r="L13" i="3"/>
  <c r="L14" i="3"/>
  <c r="L15" i="3"/>
  <c r="L16" i="3"/>
  <c r="L17" i="3"/>
  <c r="L6" i="3"/>
  <c r="E7" i="3"/>
  <c r="E8" i="3"/>
  <c r="E9" i="3"/>
  <c r="E11" i="3"/>
  <c r="E12" i="3"/>
  <c r="E13" i="3"/>
  <c r="E14" i="3"/>
  <c r="E15" i="3"/>
  <c r="E16" i="3"/>
  <c r="E17" i="3"/>
  <c r="E6" i="3"/>
  <c r="D7" i="3"/>
  <c r="D8" i="3"/>
  <c r="D9" i="3"/>
  <c r="D10" i="3"/>
  <c r="D11" i="3"/>
  <c r="D12" i="3"/>
  <c r="D13" i="3"/>
  <c r="D14" i="3"/>
  <c r="D15" i="3"/>
  <c r="D16" i="3"/>
  <c r="D17" i="3"/>
  <c r="D6" i="3"/>
  <c r="C17" i="3"/>
  <c r="C7" i="3"/>
  <c r="C8" i="3"/>
  <c r="C9" i="3"/>
  <c r="C10" i="3"/>
  <c r="C11" i="3"/>
  <c r="C12" i="3"/>
  <c r="C13" i="3"/>
  <c r="C14" i="3"/>
  <c r="C15" i="3"/>
  <c r="C16" i="3"/>
  <c r="C6" i="3"/>
  <c r="AN11" i="1"/>
  <c r="AN12" i="1"/>
  <c r="AN13" i="1"/>
  <c r="AN14" i="1"/>
  <c r="AN15" i="1"/>
  <c r="AN16" i="1"/>
  <c r="AN17" i="1"/>
  <c r="AN18" i="1"/>
  <c r="AN19" i="1"/>
  <c r="AN20" i="1"/>
  <c r="AN21" i="1"/>
  <c r="AM11" i="1"/>
  <c r="AM12" i="1"/>
  <c r="AM13" i="1"/>
  <c r="AM14" i="1"/>
  <c r="AM15" i="1"/>
  <c r="AM16" i="1"/>
  <c r="AM17" i="1"/>
  <c r="AM18" i="1"/>
  <c r="AM19" i="1"/>
  <c r="AM20" i="1"/>
  <c r="AM21" i="1"/>
  <c r="AL11" i="1"/>
  <c r="AL12" i="1"/>
  <c r="AL13" i="1"/>
  <c r="AL14" i="1"/>
  <c r="AL15" i="1"/>
  <c r="AL16" i="1"/>
  <c r="AL17" i="1"/>
  <c r="AL18" i="1"/>
  <c r="AL19" i="1"/>
  <c r="AL20" i="1"/>
  <c r="AL21" i="1"/>
  <c r="AN10" i="1"/>
  <c r="AM10" i="1"/>
  <c r="E5" i="1"/>
  <c r="C7" i="1"/>
  <c r="D7" i="1" s="1"/>
  <c r="D14" i="6" l="1"/>
  <c r="F8" i="6"/>
  <c r="D15" i="6"/>
  <c r="D9" i="6"/>
  <c r="F12" i="6"/>
  <c r="D13" i="6"/>
  <c r="F13" i="6"/>
  <c r="F8" i="1"/>
  <c r="F9" i="1" l="1"/>
  <c r="G8" i="1"/>
  <c r="H8" i="1" l="1"/>
  <c r="G9" i="1"/>
  <c r="I8" i="1" l="1"/>
  <c r="H9" i="1"/>
  <c r="J8" i="1" l="1"/>
  <c r="I9" i="1"/>
  <c r="K8" i="1" l="1"/>
  <c r="J9" i="1"/>
  <c r="L8" i="1" l="1"/>
  <c r="K9" i="1"/>
  <c r="M8" i="1" l="1"/>
  <c r="L9" i="1"/>
  <c r="N8" i="1" l="1"/>
  <c r="M9" i="1"/>
  <c r="O8" i="1" l="1"/>
  <c r="N9" i="1"/>
  <c r="P8" i="1" l="1"/>
  <c r="O9" i="1"/>
  <c r="Q8" i="1" l="1"/>
  <c r="P9" i="1"/>
  <c r="R8" i="1" l="1"/>
  <c r="Q9" i="1"/>
  <c r="S8" i="1" l="1"/>
  <c r="R9" i="1"/>
  <c r="T8" i="1" l="1"/>
  <c r="S9" i="1"/>
  <c r="U8" i="1" l="1"/>
  <c r="T9" i="1"/>
  <c r="V8" i="1" l="1"/>
  <c r="U9" i="1"/>
  <c r="W8" i="1" l="1"/>
  <c r="V9" i="1"/>
  <c r="X8" i="1" l="1"/>
  <c r="W9" i="1"/>
  <c r="Y8" i="1" l="1"/>
  <c r="X9" i="1"/>
  <c r="Z8" i="1" l="1"/>
  <c r="Y9" i="1"/>
  <c r="AA8" i="1" l="1"/>
  <c r="Z9" i="1"/>
  <c r="AB8" i="1" l="1"/>
  <c r="AA9" i="1"/>
  <c r="AC8" i="1" l="1"/>
  <c r="AB9" i="1"/>
  <c r="AD8" i="1" l="1"/>
  <c r="AC9" i="1"/>
  <c r="AE8" i="1" l="1"/>
  <c r="AD9" i="1"/>
  <c r="AF8" i="1" l="1"/>
  <c r="AE9" i="1"/>
  <c r="AG8" i="1" l="1"/>
  <c r="AF9" i="1"/>
  <c r="AH8" i="1" l="1"/>
  <c r="AG9" i="1"/>
  <c r="AI8" i="1" l="1"/>
  <c r="AH9" i="1"/>
  <c r="AJ8" i="1" l="1"/>
  <c r="AI9" i="1"/>
  <c r="AK17" i="1" l="1"/>
  <c r="AK11" i="1"/>
  <c r="AK12" i="1"/>
  <c r="AK18" i="1"/>
  <c r="AK10" i="1"/>
  <c r="AK14" i="1"/>
  <c r="AK20" i="1"/>
  <c r="AK16" i="1"/>
  <c r="AK21" i="1"/>
  <c r="AK13" i="1"/>
  <c r="AK15" i="1"/>
  <c r="AK19" i="1"/>
  <c r="AJ9" i="1"/>
  <c r="G6" i="3"/>
  <c r="J6" i="3" s="1"/>
  <c r="AO13" i="1" l="1"/>
  <c r="H9" i="3" s="1"/>
  <c r="AO21" i="1"/>
  <c r="H17" i="3" s="1"/>
  <c r="AO17" i="1"/>
  <c r="H13" i="3" s="1"/>
  <c r="AO16" i="1"/>
  <c r="H12" i="3" s="1"/>
  <c r="AO18" i="1"/>
  <c r="H14" i="3" s="1"/>
  <c r="AO20" i="1"/>
  <c r="H16" i="3" s="1"/>
  <c r="AO11" i="1"/>
  <c r="H7" i="3" s="1"/>
  <c r="AO19" i="1"/>
  <c r="H15" i="3" s="1"/>
  <c r="AO10" i="1"/>
  <c r="H6" i="3" s="1"/>
  <c r="K6" i="3" s="1"/>
  <c r="AO14" i="1"/>
  <c r="H10" i="3" s="1"/>
  <c r="AO12" i="1"/>
  <c r="H8" i="3" s="1"/>
  <c r="AO15" i="1"/>
  <c r="H11" i="3" s="1"/>
  <c r="G8" i="3"/>
  <c r="J8" i="3" s="1"/>
  <c r="O8" i="3" s="1"/>
  <c r="G16" i="3"/>
  <c r="J16" i="3" s="1"/>
  <c r="O16" i="3" s="1"/>
  <c r="G9" i="3"/>
  <c r="J9" i="3" s="1"/>
  <c r="O9" i="3" s="1"/>
  <c r="D16" i="6" s="1"/>
  <c r="G12" i="3"/>
  <c r="J12" i="3" s="1"/>
  <c r="O12" i="3" s="1"/>
  <c r="G11" i="3"/>
  <c r="J11" i="3" s="1"/>
  <c r="O11" i="3" s="1"/>
  <c r="O6" i="3"/>
  <c r="G7" i="3"/>
  <c r="J7" i="3" s="1"/>
  <c r="O7" i="3" s="1"/>
  <c r="G15" i="3"/>
  <c r="J15" i="3" s="1"/>
  <c r="O15" i="3" s="1"/>
  <c r="G14" i="3"/>
  <c r="J14" i="3" s="1"/>
  <c r="O14" i="3" s="1"/>
  <c r="G13" i="3"/>
  <c r="J13" i="3" s="1"/>
  <c r="O13" i="3" s="1"/>
  <c r="G17" i="3"/>
  <c r="J17" i="3" s="1"/>
  <c r="O17" i="3" s="1"/>
  <c r="G10" i="3"/>
  <c r="J10" i="3" s="1"/>
  <c r="O10" i="3" s="1"/>
  <c r="P6" i="3" l="1"/>
  <c r="T6" i="3" s="1"/>
  <c r="K12" i="3"/>
  <c r="P12" i="3" s="1"/>
  <c r="T12" i="3" s="1"/>
  <c r="K16" i="3"/>
  <c r="P16" i="3" s="1"/>
  <c r="K10" i="3"/>
  <c r="P10" i="3" s="1"/>
  <c r="T10" i="3" s="1"/>
  <c r="K13" i="3"/>
  <c r="P13" i="3" s="1"/>
  <c r="T13" i="3" s="1"/>
  <c r="K15" i="3"/>
  <c r="P15" i="3" s="1"/>
  <c r="T15" i="3" s="1"/>
  <c r="K17" i="3"/>
  <c r="P17" i="3" s="1"/>
  <c r="T17" i="3" s="1"/>
  <c r="K14" i="3"/>
  <c r="P14" i="3" s="1"/>
  <c r="T14" i="3" s="1"/>
  <c r="K7" i="3"/>
  <c r="P7" i="3" s="1"/>
  <c r="T7" i="3" s="1"/>
  <c r="K11" i="3"/>
  <c r="P11" i="3" s="1"/>
  <c r="T11" i="3" s="1"/>
  <c r="K9" i="3"/>
  <c r="K8" i="3"/>
  <c r="P8" i="3" s="1"/>
  <c r="T8" i="3" s="1"/>
  <c r="T16" i="3" l="1"/>
  <c r="P9" i="3"/>
  <c r="T9" i="3" s="1"/>
  <c r="D12" i="6"/>
  <c r="D17" i="6" l="1"/>
  <c r="E19" i="6"/>
</calcChain>
</file>

<file path=xl/sharedStrings.xml><?xml version="1.0" encoding="utf-8"?>
<sst xmlns="http://schemas.openxmlformats.org/spreadsheetml/2006/main" count="403" uniqueCount="74">
  <si>
    <t>January</t>
  </si>
  <si>
    <t>John Smith</t>
  </si>
  <si>
    <t>Sarah Johnson</t>
  </si>
  <si>
    <t>Michael Brown</t>
  </si>
  <si>
    <t>Emily Davis</t>
  </si>
  <si>
    <t>David Wilson</t>
  </si>
  <si>
    <t>Jessica Taylor</t>
  </si>
  <si>
    <t>Robert Thomas</t>
  </si>
  <si>
    <t>Linda Martinez</t>
  </si>
  <si>
    <t>Sarah Ali</t>
  </si>
  <si>
    <t>Daniyel Jack</t>
  </si>
  <si>
    <t>Mira Khan</t>
  </si>
  <si>
    <t>Andron Danish</t>
  </si>
  <si>
    <t>Emp_Name</t>
  </si>
  <si>
    <t>Emp_ID</t>
  </si>
  <si>
    <t>Month</t>
  </si>
  <si>
    <t>Year</t>
  </si>
  <si>
    <t>Present</t>
  </si>
  <si>
    <t>Absent</t>
  </si>
  <si>
    <t>Total Days</t>
  </si>
  <si>
    <t>Half Day</t>
  </si>
  <si>
    <t>P</t>
  </si>
  <si>
    <t>Leave</t>
  </si>
  <si>
    <t>A</t>
  </si>
  <si>
    <t>H</t>
  </si>
  <si>
    <t>L</t>
  </si>
  <si>
    <t>Designation</t>
  </si>
  <si>
    <t>SR</t>
  </si>
  <si>
    <t>Manager</t>
  </si>
  <si>
    <t>DGM</t>
  </si>
  <si>
    <t>MTO</t>
  </si>
  <si>
    <t>ASM</t>
  </si>
  <si>
    <t>TSM</t>
  </si>
  <si>
    <t>Basic Salary</t>
  </si>
  <si>
    <t>Attendance (Working Days)</t>
  </si>
  <si>
    <t>Per Day Salary</t>
  </si>
  <si>
    <t>Salary (Based on Attendance)</t>
  </si>
  <si>
    <t>DA (12%)</t>
  </si>
  <si>
    <t>HRA (40%)</t>
  </si>
  <si>
    <t>Conveyance (10%)</t>
  </si>
  <si>
    <t>Overtime Pay</t>
  </si>
  <si>
    <t>Overtime in Hrs.</t>
  </si>
  <si>
    <t>Gross Salary</t>
  </si>
  <si>
    <t>PF (5%)</t>
  </si>
  <si>
    <t>Insurance (500 TK)</t>
  </si>
  <si>
    <t>Total Deduction</t>
  </si>
  <si>
    <t>Net Salary</t>
  </si>
  <si>
    <t>Earnings (BDT)</t>
  </si>
  <si>
    <t>Deductions (BDT)</t>
  </si>
  <si>
    <t>`</t>
  </si>
  <si>
    <t>Kathal Tola, Thana Mor, Bogura</t>
  </si>
  <si>
    <t>Earnings</t>
  </si>
  <si>
    <t>Deductions</t>
  </si>
  <si>
    <t>Salary on Attendance</t>
  </si>
  <si>
    <t>Overtime</t>
  </si>
  <si>
    <t>Insurance</t>
  </si>
  <si>
    <t>Date</t>
  </si>
  <si>
    <t>Sign of Employee______________________</t>
  </si>
  <si>
    <t>Sign of Director______________________</t>
  </si>
  <si>
    <t>Total Earnings</t>
  </si>
  <si>
    <t>XYZ Private Limited Company</t>
  </si>
  <si>
    <t>WeekOff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</si>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</sst>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dd\-mm\-yyyy"/>
    <numFmt numFmtId="166" formatCode="dd"/>
    <numFmt numFmtId="167" formatCode="#\ &quot;Hrs.&quot;"/>
    <numFmt numFmtId="168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/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-0.249977111117893"/>
      </left>
      <right style="thin">
        <color rgb="FF00B050"/>
      </right>
      <top style="thin">
        <color theme="4" tint="0.39997558519241921"/>
      </top>
      <bottom/>
      <diagonal/>
    </border>
    <border>
      <left style="thin">
        <color theme="4" tint="-0.249977111117893"/>
      </left>
      <right style="thin">
        <color rgb="FF00B050"/>
      </right>
      <top/>
      <bottom/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2" fillId="4" borderId="1" xfId="0" applyFont="1" applyFill="1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167" fontId="0" fillId="0" borderId="11" xfId="0" applyNumberFormat="1" applyBorder="1" applyAlignment="1">
      <alignment vertical="center"/>
    </xf>
    <xf numFmtId="1" fontId="0" fillId="0" borderId="11" xfId="0" applyNumberForma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4" borderId="12" xfId="0" applyFill="1" applyBorder="1"/>
    <xf numFmtId="0" fontId="0" fillId="4" borderId="12" xfId="0" applyFill="1" applyBorder="1" applyAlignment="1">
      <alignment horizontal="center" vertical="center"/>
    </xf>
    <xf numFmtId="15" fontId="0" fillId="4" borderId="12" xfId="0" applyNumberFormat="1" applyFill="1" applyBorder="1" applyAlignment="1">
      <alignment horizontal="center" vertical="center"/>
    </xf>
    <xf numFmtId="168" fontId="0" fillId="4" borderId="12" xfId="1" applyNumberFormat="1" applyFont="1" applyFill="1" applyBorder="1" applyAlignment="1">
      <alignment horizontal="center" vertical="center"/>
    </xf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0" xfId="0" applyFill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2" fillId="4" borderId="3" xfId="0" applyFont="1" applyFill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4" borderId="24" xfId="0" applyNumberFormat="1" applyFont="1" applyFill="1" applyBorder="1" applyAlignment="1">
      <alignment horizontal="center" vertical="center"/>
    </xf>
    <xf numFmtId="165" fontId="2" fillId="4" borderId="8" xfId="0" applyNumberFormat="1" applyFont="1" applyFill="1" applyBorder="1" applyAlignment="1">
      <alignment horizontal="center" vertical="center"/>
    </xf>
    <xf numFmtId="0" fontId="0" fillId="0" borderId="35" xfId="0" applyBorder="1"/>
    <xf numFmtId="0" fontId="2" fillId="6" borderId="12" xfId="0" applyFont="1" applyFill="1" applyBorder="1"/>
    <xf numFmtId="168" fontId="2" fillId="6" borderId="12" xfId="0" applyNumberFormat="1" applyFont="1" applyFill="1" applyBorder="1"/>
    <xf numFmtId="0" fontId="9" fillId="0" borderId="0" xfId="0" applyFont="1"/>
    <xf numFmtId="0" fontId="0" fillId="4" borderId="0" xfId="0" applyFill="1" applyAlignment="1">
      <alignment horizontal="center"/>
    </xf>
    <xf numFmtId="0" fontId="7" fillId="6" borderId="12" xfId="0" applyFont="1" applyFill="1" applyBorder="1" applyAlignment="1">
      <alignment horizontal="center"/>
    </xf>
    <xf numFmtId="168" fontId="7" fillId="6" borderId="12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65" fontId="2" fillId="5" borderId="33" xfId="0" applyNumberFormat="1" applyFont="1" applyFill="1" applyBorder="1" applyAlignment="1">
      <alignment horizontal="center" vertical="center" wrapText="1"/>
    </xf>
    <xf numFmtId="165" fontId="2" fillId="5" borderId="34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6" fontId="2" fillId="5" borderId="9" xfId="0" applyNumberFormat="1" applyFont="1" applyFill="1" applyBorder="1" applyAlignment="1">
      <alignment horizontal="center" vertical="center" wrapText="1"/>
    </xf>
    <xf numFmtId="166" fontId="2" fillId="5" borderId="10" xfId="0" applyNumberFormat="1" applyFont="1" applyFill="1" applyBorder="1" applyAlignment="1">
      <alignment horizontal="center" vertical="center" wrapText="1"/>
    </xf>
    <xf numFmtId="165" fontId="2" fillId="5" borderId="5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6" xfId="0" applyNumberFormat="1" applyFont="1" applyFill="1" applyBorder="1" applyAlignment="1">
      <alignment horizontal="center" vertical="center" wrapText="1"/>
    </xf>
    <xf numFmtId="165" fontId="2" fillId="5" borderId="4" xfId="0" applyNumberFormat="1" applyFont="1" applyFill="1" applyBorder="1" applyAlignment="1">
      <alignment horizontal="center" vertical="center" wrapText="1"/>
    </xf>
    <xf numFmtId="165" fontId="2" fillId="5" borderId="5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ill>
        <patternFill>
          <bgColor rgb="FF66FF33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607218</xdr:colOff>
      <xdr:row>6</xdr:row>
      <xdr:rowOff>0</xdr:rowOff>
    </xdr:from>
    <xdr:to>
      <xdr:col>6</xdr:col>
      <xdr:colOff>0</xdr:colOff>
      <xdr:row>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79C671-B7E8-946F-2FCD-30379EC7787C}"/>
            </a:ext>
          </a:extLst>
        </xdr:cNvPr>
        <xdr:cNvCxnSpPr/>
      </xdr:nvCxnSpPr>
      <xdr:spPr>
        <a:xfrm>
          <a:off x="1214437" y="1143000"/>
          <a:ext cx="49232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AR54"/>
  <sheetViews>
    <sheetView topLeftCell="B1" zoomScale="85" zoomScaleNormal="85" workbookViewId="0">
      <selection activeCell="AD14" sqref="AD14"/>
    </sheetView>
  </sheetViews>
  <sheetFormatPr defaultRowHeight="15" x14ac:dyDescent="0.25"/>
  <cols>
    <col min="3" max="3" width="11.140625" style="1" bestFit="1" customWidth="1"/>
    <col min="4" max="4" width="15.140625" bestFit="1" customWidth="1"/>
    <col min="5" max="5" width="15.140625" customWidth="1"/>
    <col min="6" max="6" width="4.5703125" bestFit="1" customWidth="1"/>
    <col min="7" max="7" width="3.5703125" bestFit="1" customWidth="1"/>
    <col min="8" max="8" width="4" bestFit="1" customWidth="1"/>
    <col min="9" max="9" width="4.5703125" bestFit="1" customWidth="1"/>
    <col min="10" max="10" width="5.140625" bestFit="1" customWidth="1"/>
    <col min="11" max="11" width="4.5703125" bestFit="1" customWidth="1"/>
    <col min="12" max="12" width="5.28515625" bestFit="1" customWidth="1"/>
    <col min="13" max="13" width="4.5703125" bestFit="1" customWidth="1"/>
    <col min="14" max="14" width="3.5703125" bestFit="1" customWidth="1"/>
    <col min="15" max="15" width="4" bestFit="1" customWidth="1"/>
    <col min="16" max="16" width="4.5703125" bestFit="1" customWidth="1"/>
    <col min="17" max="17" width="5.140625" bestFit="1" customWidth="1"/>
    <col min="18" max="18" width="4.5703125" bestFit="1" customWidth="1"/>
    <col min="19" max="19" width="5.28515625" bestFit="1" customWidth="1"/>
    <col min="20" max="20" width="4.5703125" bestFit="1" customWidth="1"/>
    <col min="21" max="21" width="3.5703125" bestFit="1" customWidth="1"/>
    <col min="22" max="22" width="4" bestFit="1" customWidth="1"/>
    <col min="23" max="23" width="4.5703125" bestFit="1" customWidth="1"/>
    <col min="24" max="24" width="5.140625" bestFit="1" customWidth="1"/>
    <col min="25" max="25" width="4.5703125" bestFit="1" customWidth="1"/>
    <col min="26" max="26" width="5.28515625" bestFit="1" customWidth="1"/>
    <col min="27" max="27" width="4.5703125" bestFit="1" customWidth="1"/>
    <col min="28" max="28" width="3.5703125" bestFit="1" customWidth="1"/>
    <col min="29" max="29" width="4" bestFit="1" customWidth="1"/>
    <col min="30" max="30" width="4.5703125" bestFit="1" customWidth="1"/>
    <col min="31" max="31" width="5.140625" bestFit="1" customWidth="1"/>
    <col min="32" max="32" width="4.5703125" bestFit="1" customWidth="1"/>
    <col min="33" max="33" width="5.28515625" bestFit="1" customWidth="1"/>
    <col min="34" max="34" width="4.5703125" bestFit="1" customWidth="1"/>
    <col min="35" max="35" width="3.5703125" bestFit="1" customWidth="1"/>
    <col min="36" max="36" width="4" bestFit="1" customWidth="1"/>
    <col min="37" max="37" width="5.85546875" customWidth="1"/>
    <col min="38" max="38" width="8" bestFit="1" customWidth="1"/>
    <col min="39" max="39" width="6.85546875" customWidth="1"/>
    <col min="40" max="40" width="5" customWidth="1"/>
    <col min="41" max="41" width="6.42578125" customWidth="1"/>
    <col min="42" max="42" width="7.5703125" bestFit="1" customWidth="1"/>
  </cols>
  <sheetData>
    <row r="5" spans="3:44" ht="15" customHeight="1" x14ac:dyDescent="0.25">
      <c r="C5" s="8" t="s">
        <v>15</v>
      </c>
      <c r="D5" s="35" t="s">
        <v>16</v>
      </c>
      <c r="E5" s="51" t="str">
        <f>"Fully Automatic Attendance Tracker for the month of- "&amp;C6&amp;" "&amp;D6</f>
        <v>Fully Automatic Attendance Tracker for the month of- January 2026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3"/>
    </row>
    <row r="6" spans="3:44" ht="15" customHeight="1" x14ac:dyDescent="0.25">
      <c r="C6" s="8" t="s">
        <v>0</v>
      </c>
      <c r="D6" s="35">
        <v>2026</v>
      </c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</row>
    <row r="7" spans="3:44" ht="15" customHeight="1" x14ac:dyDescent="0.25">
      <c r="C7" s="38">
        <f>DATEVALUE("01"&amp;C6&amp;D6)</f>
        <v>46023</v>
      </c>
      <c r="D7" s="39">
        <f>EOMONTH(C7,0)</f>
        <v>46053</v>
      </c>
      <c r="E7" s="57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</row>
    <row r="8" spans="3:44" x14ac:dyDescent="0.25">
      <c r="C8" s="62" t="s">
        <v>14</v>
      </c>
      <c r="D8" s="62" t="s">
        <v>13</v>
      </c>
      <c r="E8" s="62" t="s">
        <v>26</v>
      </c>
      <c r="F8" s="36">
        <f>C7</f>
        <v>46023</v>
      </c>
      <c r="G8" s="11">
        <f>IF(F8&lt;$D$7,F8+1,"")</f>
        <v>46024</v>
      </c>
      <c r="H8" s="11">
        <f t="shared" ref="H8:AJ8" si="0">IF(G8&lt;$D$7,G8+1,"")</f>
        <v>46025</v>
      </c>
      <c r="I8" s="11">
        <f t="shared" si="0"/>
        <v>46026</v>
      </c>
      <c r="J8" s="11">
        <f t="shared" si="0"/>
        <v>46027</v>
      </c>
      <c r="K8" s="11">
        <f t="shared" si="0"/>
        <v>46028</v>
      </c>
      <c r="L8" s="11">
        <f t="shared" si="0"/>
        <v>46029</v>
      </c>
      <c r="M8" s="11">
        <f t="shared" si="0"/>
        <v>46030</v>
      </c>
      <c r="N8" s="11">
        <f t="shared" si="0"/>
        <v>46031</v>
      </c>
      <c r="O8" s="11">
        <f t="shared" si="0"/>
        <v>46032</v>
      </c>
      <c r="P8" s="11">
        <f t="shared" si="0"/>
        <v>46033</v>
      </c>
      <c r="Q8" s="11">
        <f t="shared" si="0"/>
        <v>46034</v>
      </c>
      <c r="R8" s="11">
        <f t="shared" si="0"/>
        <v>46035</v>
      </c>
      <c r="S8" s="11">
        <f t="shared" si="0"/>
        <v>46036</v>
      </c>
      <c r="T8" s="11">
        <f t="shared" si="0"/>
        <v>46037</v>
      </c>
      <c r="U8" s="11">
        <f t="shared" si="0"/>
        <v>46038</v>
      </c>
      <c r="V8" s="11">
        <f t="shared" si="0"/>
        <v>46039</v>
      </c>
      <c r="W8" s="11">
        <f t="shared" si="0"/>
        <v>46040</v>
      </c>
      <c r="X8" s="11">
        <f t="shared" si="0"/>
        <v>46041</v>
      </c>
      <c r="Y8" s="11">
        <f t="shared" si="0"/>
        <v>46042</v>
      </c>
      <c r="Z8" s="11">
        <f t="shared" si="0"/>
        <v>46043</v>
      </c>
      <c r="AA8" s="11">
        <f t="shared" si="0"/>
        <v>46044</v>
      </c>
      <c r="AB8" s="11">
        <f t="shared" si="0"/>
        <v>46045</v>
      </c>
      <c r="AC8" s="11">
        <f>IF(AB8&lt;$D$7,AB8+1,"")</f>
        <v>46046</v>
      </c>
      <c r="AD8" s="11">
        <f t="shared" si="0"/>
        <v>46047</v>
      </c>
      <c r="AE8" s="11">
        <f t="shared" si="0"/>
        <v>46048</v>
      </c>
      <c r="AF8" s="11">
        <f t="shared" si="0"/>
        <v>46049</v>
      </c>
      <c r="AG8" s="11">
        <f t="shared" si="0"/>
        <v>46050</v>
      </c>
      <c r="AH8" s="11">
        <f t="shared" si="0"/>
        <v>46051</v>
      </c>
      <c r="AI8" s="11">
        <f t="shared" si="0"/>
        <v>46052</v>
      </c>
      <c r="AJ8" s="11">
        <f t="shared" si="0"/>
        <v>46053</v>
      </c>
      <c r="AK8" s="65" t="s">
        <v>19</v>
      </c>
      <c r="AL8" s="67" t="s">
        <v>18</v>
      </c>
      <c r="AM8" s="69" t="s">
        <v>22</v>
      </c>
      <c r="AN8" s="71" t="s">
        <v>20</v>
      </c>
      <c r="AO8" s="60" t="s">
        <v>61</v>
      </c>
      <c r="AP8" s="63" t="s">
        <v>17</v>
      </c>
      <c r="AQ8" s="2"/>
      <c r="AR8" s="2"/>
    </row>
    <row r="9" spans="3:44" x14ac:dyDescent="0.25">
      <c r="C9" s="62"/>
      <c r="D9" s="62"/>
      <c r="E9" s="62"/>
      <c r="F9" s="37" t="str">
        <f>TEXT(F8,"DDD")</f>
        <v>Thu</v>
      </c>
      <c r="G9" s="10" t="str">
        <f t="shared" ref="G9:AJ9" si="1">TEXT(G8,"DDD")</f>
        <v>Fri</v>
      </c>
      <c r="H9" s="10" t="str">
        <f t="shared" si="1"/>
        <v>Sat</v>
      </c>
      <c r="I9" s="10" t="str">
        <f t="shared" si="1"/>
        <v>Sun</v>
      </c>
      <c r="J9" s="10" t="str">
        <f t="shared" si="1"/>
        <v>Mon</v>
      </c>
      <c r="K9" s="10" t="str">
        <f t="shared" si="1"/>
        <v>Tue</v>
      </c>
      <c r="L9" s="10" t="str">
        <f t="shared" si="1"/>
        <v>Wed</v>
      </c>
      <c r="M9" s="10" t="str">
        <f t="shared" si="1"/>
        <v>Thu</v>
      </c>
      <c r="N9" s="10" t="str">
        <f t="shared" si="1"/>
        <v>Fri</v>
      </c>
      <c r="O9" s="10" t="str">
        <f t="shared" si="1"/>
        <v>Sat</v>
      </c>
      <c r="P9" s="10" t="str">
        <f t="shared" si="1"/>
        <v>Sun</v>
      </c>
      <c r="Q9" s="10" t="str">
        <f t="shared" si="1"/>
        <v>Mon</v>
      </c>
      <c r="R9" s="10" t="str">
        <f t="shared" si="1"/>
        <v>Tue</v>
      </c>
      <c r="S9" s="10" t="str">
        <f t="shared" si="1"/>
        <v>Wed</v>
      </c>
      <c r="T9" s="10" t="str">
        <f t="shared" si="1"/>
        <v>Thu</v>
      </c>
      <c r="U9" s="10" t="str">
        <f t="shared" si="1"/>
        <v>Fri</v>
      </c>
      <c r="V9" s="10" t="str">
        <f t="shared" si="1"/>
        <v>Sat</v>
      </c>
      <c r="W9" s="10" t="str">
        <f t="shared" si="1"/>
        <v>Sun</v>
      </c>
      <c r="X9" s="10" t="str">
        <f t="shared" si="1"/>
        <v>Mon</v>
      </c>
      <c r="Y9" s="10" t="str">
        <f t="shared" si="1"/>
        <v>Tue</v>
      </c>
      <c r="Z9" s="10" t="str">
        <f t="shared" si="1"/>
        <v>Wed</v>
      </c>
      <c r="AA9" s="10" t="str">
        <f t="shared" si="1"/>
        <v>Thu</v>
      </c>
      <c r="AB9" s="10" t="str">
        <f t="shared" si="1"/>
        <v>Fri</v>
      </c>
      <c r="AC9" s="10" t="str">
        <f t="shared" si="1"/>
        <v>Sat</v>
      </c>
      <c r="AD9" s="10" t="str">
        <f t="shared" si="1"/>
        <v>Sun</v>
      </c>
      <c r="AE9" s="10" t="str">
        <f t="shared" si="1"/>
        <v>Mon</v>
      </c>
      <c r="AF9" s="10" t="str">
        <f t="shared" si="1"/>
        <v>Tue</v>
      </c>
      <c r="AG9" s="10" t="str">
        <f t="shared" si="1"/>
        <v>Wed</v>
      </c>
      <c r="AH9" s="10" t="str">
        <f t="shared" si="1"/>
        <v>Thu</v>
      </c>
      <c r="AI9" s="10" t="str">
        <f t="shared" si="1"/>
        <v>Fri</v>
      </c>
      <c r="AJ9" s="10" t="str">
        <f t="shared" si="1"/>
        <v>Sat</v>
      </c>
      <c r="AK9" s="66"/>
      <c r="AL9" s="68"/>
      <c r="AM9" s="70"/>
      <c r="AN9" s="72"/>
      <c r="AO9" s="61"/>
      <c r="AP9" s="64"/>
    </row>
    <row r="10" spans="3:44" x14ac:dyDescent="0.25">
      <c r="C10" s="6">
        <v>1001</v>
      </c>
      <c r="D10" s="7" t="s">
        <v>1</v>
      </c>
      <c r="E10" s="7" t="s">
        <v>27</v>
      </c>
      <c r="F10" s="6" t="s">
        <v>21</v>
      </c>
      <c r="G10" s="6"/>
      <c r="H10" s="6" t="s">
        <v>21</v>
      </c>
      <c r="I10" s="6" t="s">
        <v>21</v>
      </c>
      <c r="J10" s="6" t="s">
        <v>21</v>
      </c>
      <c r="K10" s="6" t="s">
        <v>21</v>
      </c>
      <c r="L10" s="6" t="s">
        <v>21</v>
      </c>
      <c r="M10" s="6" t="s">
        <v>21</v>
      </c>
      <c r="N10" s="6"/>
      <c r="O10" s="6" t="s">
        <v>24</v>
      </c>
      <c r="P10" s="6" t="s">
        <v>21</v>
      </c>
      <c r="Q10" s="6" t="s">
        <v>21</v>
      </c>
      <c r="R10" s="6" t="s">
        <v>21</v>
      </c>
      <c r="S10" s="6" t="s">
        <v>21</v>
      </c>
      <c r="T10" s="6" t="s">
        <v>21</v>
      </c>
      <c r="U10" s="6"/>
      <c r="V10" s="6" t="s">
        <v>21</v>
      </c>
      <c r="W10" s="6" t="s">
        <v>21</v>
      </c>
      <c r="X10" s="6" t="s">
        <v>21</v>
      </c>
      <c r="Y10" s="6" t="s">
        <v>25</v>
      </c>
      <c r="Z10" s="6" t="s">
        <v>21</v>
      </c>
      <c r="AA10" s="6" t="s">
        <v>21</v>
      </c>
      <c r="AB10" s="6"/>
      <c r="AC10" s="6" t="s">
        <v>21</v>
      </c>
      <c r="AD10" s="6" t="s">
        <v>21</v>
      </c>
      <c r="AE10" s="6" t="s">
        <v>24</v>
      </c>
      <c r="AF10" s="6" t="s">
        <v>21</v>
      </c>
      <c r="AG10" s="6" t="s">
        <v>21</v>
      </c>
      <c r="AH10" s="6" t="s">
        <v>21</v>
      </c>
      <c r="AI10" s="6"/>
      <c r="AJ10" s="6" t="s">
        <v>21</v>
      </c>
      <c r="AK10" s="5">
        <f>COUNT($F$8:$AJ$8)</f>
        <v>31</v>
      </c>
      <c r="AL10" s="4">
        <f>COUNTIF(F10:AJ10,"A")</f>
        <v>0</v>
      </c>
      <c r="AM10" s="9">
        <f>COUNTIF(F10:AJ10,"L")</f>
        <v>1</v>
      </c>
      <c r="AN10" s="4">
        <f>COUNTIF(F10:AJ10,"H")</f>
        <v>2</v>
      </c>
      <c r="AO10" s="4">
        <f>COUNTIF($F$9:$AJ$9,"Fri")</f>
        <v>5</v>
      </c>
      <c r="AP10" s="40">
        <f>COUNTIF(F10:AJ10,"P")</f>
        <v>23</v>
      </c>
    </row>
    <row r="11" spans="3:44" x14ac:dyDescent="0.25">
      <c r="C11" s="3">
        <v>1002</v>
      </c>
      <c r="D11" s="4" t="s">
        <v>2</v>
      </c>
      <c r="E11" s="4" t="s">
        <v>28</v>
      </c>
      <c r="F11" s="6" t="s">
        <v>21</v>
      </c>
      <c r="G11" s="6"/>
      <c r="H11" s="6" t="s">
        <v>21</v>
      </c>
      <c r="I11" s="6" t="s">
        <v>21</v>
      </c>
      <c r="J11" s="6" t="s">
        <v>21</v>
      </c>
      <c r="K11" s="6" t="s">
        <v>21</v>
      </c>
      <c r="L11" s="6" t="s">
        <v>21</v>
      </c>
      <c r="M11" s="6" t="s">
        <v>21</v>
      </c>
      <c r="N11" s="3"/>
      <c r="O11" s="6" t="s">
        <v>21</v>
      </c>
      <c r="P11" s="6" t="s">
        <v>21</v>
      </c>
      <c r="Q11" s="6" t="s">
        <v>21</v>
      </c>
      <c r="R11" s="6" t="s">
        <v>21</v>
      </c>
      <c r="S11" s="6" t="s">
        <v>21</v>
      </c>
      <c r="T11" s="6" t="s">
        <v>21</v>
      </c>
      <c r="U11" s="3"/>
      <c r="V11" s="6" t="s">
        <v>24</v>
      </c>
      <c r="W11" s="6" t="s">
        <v>21</v>
      </c>
      <c r="X11" s="6" t="s">
        <v>21</v>
      </c>
      <c r="Y11" s="6" t="s">
        <v>21</v>
      </c>
      <c r="Z11" s="6" t="s">
        <v>21</v>
      </c>
      <c r="AA11" s="6" t="s">
        <v>21</v>
      </c>
      <c r="AB11" s="3"/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3"/>
      <c r="AJ11" s="6" t="s">
        <v>21</v>
      </c>
      <c r="AK11" s="5">
        <f t="shared" ref="AK11:AK21" si="2">COUNT($F$8:$AJ$8)</f>
        <v>31</v>
      </c>
      <c r="AL11" s="4">
        <f t="shared" ref="AL11:AL21" si="3">COUNTIF(F11:AJ11,"A")</f>
        <v>0</v>
      </c>
      <c r="AM11" s="9">
        <f t="shared" ref="AM11:AM21" si="4">COUNTIF(F11:AJ11,"L")</f>
        <v>0</v>
      </c>
      <c r="AN11" s="4">
        <f t="shared" ref="AN11:AN21" si="5">COUNTIF(F11:AJ11,"H")</f>
        <v>1</v>
      </c>
      <c r="AO11" s="4">
        <f t="shared" ref="AO11:AO21" si="6">COUNTIF($F$9:$AJ$9,"Fri")</f>
        <v>5</v>
      </c>
      <c r="AP11" s="40">
        <f t="shared" ref="AP11:AP21" si="7">COUNTIF(F11:AJ11,"P")</f>
        <v>25</v>
      </c>
    </row>
    <row r="12" spans="3:44" x14ac:dyDescent="0.25">
      <c r="C12" s="3">
        <v>1003</v>
      </c>
      <c r="D12" s="4" t="s">
        <v>3</v>
      </c>
      <c r="E12" s="4" t="s">
        <v>27</v>
      </c>
      <c r="F12" s="6" t="s">
        <v>21</v>
      </c>
      <c r="G12" s="6"/>
      <c r="H12" s="6" t="s">
        <v>21</v>
      </c>
      <c r="I12" s="6" t="s">
        <v>21</v>
      </c>
      <c r="J12" s="6" t="s">
        <v>21</v>
      </c>
      <c r="K12" s="6" t="s">
        <v>21</v>
      </c>
      <c r="L12" s="6" t="s">
        <v>21</v>
      </c>
      <c r="M12" s="6" t="s">
        <v>21</v>
      </c>
      <c r="N12" s="3"/>
      <c r="O12" s="6" t="s">
        <v>21</v>
      </c>
      <c r="P12" s="6" t="s">
        <v>21</v>
      </c>
      <c r="Q12" s="6" t="s">
        <v>21</v>
      </c>
      <c r="R12" s="6" t="s">
        <v>25</v>
      </c>
      <c r="S12" s="6" t="s">
        <v>21</v>
      </c>
      <c r="T12" s="6" t="s">
        <v>21</v>
      </c>
      <c r="U12" s="3"/>
      <c r="V12" s="6" t="s">
        <v>21</v>
      </c>
      <c r="W12" s="6" t="s">
        <v>21</v>
      </c>
      <c r="X12" s="6" t="s">
        <v>21</v>
      </c>
      <c r="Y12" s="6" t="s">
        <v>21</v>
      </c>
      <c r="Z12" s="6" t="s">
        <v>21</v>
      </c>
      <c r="AA12" s="6" t="s">
        <v>21</v>
      </c>
      <c r="AB12" s="3"/>
      <c r="AC12" s="6" t="s">
        <v>21</v>
      </c>
      <c r="AD12" s="6" t="s">
        <v>21</v>
      </c>
      <c r="AE12" s="6" t="s">
        <v>21</v>
      </c>
      <c r="AF12" s="6" t="s">
        <v>21</v>
      </c>
      <c r="AG12" s="6" t="s">
        <v>21</v>
      </c>
      <c r="AH12" s="6" t="s">
        <v>21</v>
      </c>
      <c r="AI12" s="3"/>
      <c r="AJ12" s="6" t="s">
        <v>21</v>
      </c>
      <c r="AK12" s="5">
        <f t="shared" si="2"/>
        <v>31</v>
      </c>
      <c r="AL12" s="4">
        <f t="shared" si="3"/>
        <v>0</v>
      </c>
      <c r="AM12" s="9">
        <f t="shared" si="4"/>
        <v>1</v>
      </c>
      <c r="AN12" s="4">
        <f t="shared" si="5"/>
        <v>0</v>
      </c>
      <c r="AO12" s="4">
        <f t="shared" si="6"/>
        <v>5</v>
      </c>
      <c r="AP12" s="40">
        <f t="shared" si="7"/>
        <v>25</v>
      </c>
    </row>
    <row r="13" spans="3:44" x14ac:dyDescent="0.25">
      <c r="C13" s="3">
        <v>1004</v>
      </c>
      <c r="D13" s="4" t="s">
        <v>4</v>
      </c>
      <c r="E13" s="4" t="s">
        <v>29</v>
      </c>
      <c r="F13" s="6" t="s">
        <v>21</v>
      </c>
      <c r="G13" s="6"/>
      <c r="H13" s="6" t="s">
        <v>21</v>
      </c>
      <c r="I13" s="6" t="s">
        <v>25</v>
      </c>
      <c r="J13" s="6" t="s">
        <v>21</v>
      </c>
      <c r="K13" s="6" t="s">
        <v>21</v>
      </c>
      <c r="L13" s="6" t="s">
        <v>21</v>
      </c>
      <c r="M13" s="6" t="s">
        <v>24</v>
      </c>
      <c r="N13" s="3"/>
      <c r="O13" s="6" t="s">
        <v>21</v>
      </c>
      <c r="P13" s="6" t="s">
        <v>21</v>
      </c>
      <c r="Q13" s="6" t="s">
        <v>21</v>
      </c>
      <c r="R13" s="6" t="s">
        <v>24</v>
      </c>
      <c r="S13" s="6" t="s">
        <v>21</v>
      </c>
      <c r="T13" s="6" t="s">
        <v>21</v>
      </c>
      <c r="U13" s="3"/>
      <c r="V13" s="6" t="s">
        <v>21</v>
      </c>
      <c r="W13" s="6" t="s">
        <v>21</v>
      </c>
      <c r="X13" s="6" t="s">
        <v>21</v>
      </c>
      <c r="Y13" s="6" t="s">
        <v>23</v>
      </c>
      <c r="Z13" s="6" t="s">
        <v>21</v>
      </c>
      <c r="AA13" s="6" t="s">
        <v>21</v>
      </c>
      <c r="AB13" s="3"/>
      <c r="AC13" s="6" t="s">
        <v>21</v>
      </c>
      <c r="AD13" s="6" t="s">
        <v>24</v>
      </c>
      <c r="AE13" s="6" t="s">
        <v>21</v>
      </c>
      <c r="AF13" s="6" t="s">
        <v>21</v>
      </c>
      <c r="AG13" s="6" t="s">
        <v>23</v>
      </c>
      <c r="AH13" s="6" t="s">
        <v>21</v>
      </c>
      <c r="AI13" s="3"/>
      <c r="AJ13" s="6" t="s">
        <v>21</v>
      </c>
      <c r="AK13" s="5">
        <f t="shared" si="2"/>
        <v>31</v>
      </c>
      <c r="AL13" s="4">
        <f t="shared" si="3"/>
        <v>2</v>
      </c>
      <c r="AM13" s="9">
        <f t="shared" si="4"/>
        <v>1</v>
      </c>
      <c r="AN13" s="4">
        <f t="shared" si="5"/>
        <v>3</v>
      </c>
      <c r="AO13" s="4">
        <f t="shared" si="6"/>
        <v>5</v>
      </c>
      <c r="AP13" s="40">
        <f t="shared" si="7"/>
        <v>20</v>
      </c>
    </row>
    <row r="14" spans="3:44" x14ac:dyDescent="0.25">
      <c r="C14" s="3">
        <v>1005</v>
      </c>
      <c r="D14" s="4" t="s">
        <v>5</v>
      </c>
      <c r="E14" s="4" t="s">
        <v>30</v>
      </c>
      <c r="F14" s="6" t="s">
        <v>21</v>
      </c>
      <c r="G14" s="6"/>
      <c r="H14" s="6" t="s">
        <v>21</v>
      </c>
      <c r="I14" s="6" t="s">
        <v>21</v>
      </c>
      <c r="J14" s="6" t="s">
        <v>25</v>
      </c>
      <c r="K14" s="6" t="s">
        <v>21</v>
      </c>
      <c r="L14" s="6" t="s">
        <v>21</v>
      </c>
      <c r="M14" s="6" t="s">
        <v>21</v>
      </c>
      <c r="N14" s="3"/>
      <c r="O14" s="6" t="s">
        <v>21</v>
      </c>
      <c r="P14" s="6" t="s">
        <v>21</v>
      </c>
      <c r="Q14" s="6" t="s">
        <v>21</v>
      </c>
      <c r="R14" s="6" t="s">
        <v>21</v>
      </c>
      <c r="S14" s="6" t="s">
        <v>21</v>
      </c>
      <c r="T14" s="6" t="s">
        <v>21</v>
      </c>
      <c r="U14" s="3"/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6" t="s">
        <v>21</v>
      </c>
      <c r="AB14" s="3"/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3"/>
      <c r="AJ14" s="6" t="s">
        <v>21</v>
      </c>
      <c r="AK14" s="5">
        <f t="shared" si="2"/>
        <v>31</v>
      </c>
      <c r="AL14" s="4">
        <f t="shared" si="3"/>
        <v>0</v>
      </c>
      <c r="AM14" s="9">
        <f t="shared" si="4"/>
        <v>1</v>
      </c>
      <c r="AN14" s="4">
        <f t="shared" si="5"/>
        <v>0</v>
      </c>
      <c r="AO14" s="4">
        <f t="shared" si="6"/>
        <v>5</v>
      </c>
      <c r="AP14" s="40">
        <f t="shared" si="7"/>
        <v>25</v>
      </c>
    </row>
    <row r="15" spans="3:44" x14ac:dyDescent="0.25">
      <c r="C15" s="3">
        <v>1006</v>
      </c>
      <c r="D15" s="4" t="s">
        <v>6</v>
      </c>
      <c r="E15" s="4" t="s">
        <v>31</v>
      </c>
      <c r="F15" s="6" t="s">
        <v>21</v>
      </c>
      <c r="G15" s="6"/>
      <c r="H15" s="6" t="s">
        <v>21</v>
      </c>
      <c r="I15" s="6" t="s">
        <v>21</v>
      </c>
      <c r="J15" s="6" t="s">
        <v>21</v>
      </c>
      <c r="K15" s="6" t="s">
        <v>21</v>
      </c>
      <c r="L15" s="6" t="s">
        <v>21</v>
      </c>
      <c r="M15" s="6" t="s">
        <v>21</v>
      </c>
      <c r="N15" s="3"/>
      <c r="O15" s="6" t="s">
        <v>21</v>
      </c>
      <c r="P15" s="6" t="s">
        <v>21</v>
      </c>
      <c r="Q15" s="6" t="s">
        <v>21</v>
      </c>
      <c r="R15" s="6" t="s">
        <v>21</v>
      </c>
      <c r="S15" s="6" t="s">
        <v>21</v>
      </c>
      <c r="T15" s="6" t="s">
        <v>21</v>
      </c>
      <c r="U15" s="3"/>
      <c r="V15" s="6" t="s">
        <v>21</v>
      </c>
      <c r="W15" s="6" t="s">
        <v>21</v>
      </c>
      <c r="X15" s="6" t="s">
        <v>21</v>
      </c>
      <c r="Y15" s="6" t="s">
        <v>21</v>
      </c>
      <c r="Z15" s="6" t="s">
        <v>21</v>
      </c>
      <c r="AA15" s="6" t="s">
        <v>21</v>
      </c>
      <c r="AB15" s="3"/>
      <c r="AC15" s="6" t="s">
        <v>21</v>
      </c>
      <c r="AD15" s="6" t="s">
        <v>21</v>
      </c>
      <c r="AE15" s="6" t="s">
        <v>21</v>
      </c>
      <c r="AF15" s="6" t="s">
        <v>21</v>
      </c>
      <c r="AG15" s="6" t="s">
        <v>21</v>
      </c>
      <c r="AH15" s="6" t="s">
        <v>21</v>
      </c>
      <c r="AI15" s="3"/>
      <c r="AJ15" s="6" t="s">
        <v>21</v>
      </c>
      <c r="AK15" s="5">
        <f t="shared" si="2"/>
        <v>31</v>
      </c>
      <c r="AL15" s="4">
        <f t="shared" si="3"/>
        <v>0</v>
      </c>
      <c r="AM15" s="9">
        <f t="shared" si="4"/>
        <v>0</v>
      </c>
      <c r="AN15" s="4">
        <f t="shared" si="5"/>
        <v>0</v>
      </c>
      <c r="AO15" s="4">
        <f t="shared" si="6"/>
        <v>5</v>
      </c>
      <c r="AP15" s="40">
        <f t="shared" si="7"/>
        <v>26</v>
      </c>
    </row>
    <row r="16" spans="3:44" x14ac:dyDescent="0.25">
      <c r="C16" s="3">
        <v>1007</v>
      </c>
      <c r="D16" s="4" t="s">
        <v>7</v>
      </c>
      <c r="E16" s="4" t="s">
        <v>27</v>
      </c>
      <c r="F16" s="6" t="s">
        <v>21</v>
      </c>
      <c r="G16" s="6"/>
      <c r="H16" s="6" t="s">
        <v>21</v>
      </c>
      <c r="I16" s="6" t="s">
        <v>21</v>
      </c>
      <c r="J16" s="6" t="s">
        <v>21</v>
      </c>
      <c r="K16" s="6" t="s">
        <v>21</v>
      </c>
      <c r="L16" s="6" t="s">
        <v>21</v>
      </c>
      <c r="M16" s="6" t="s">
        <v>21</v>
      </c>
      <c r="N16" s="3"/>
      <c r="O16" s="6" t="s">
        <v>21</v>
      </c>
      <c r="P16" s="6" t="s">
        <v>21</v>
      </c>
      <c r="Q16" s="6" t="s">
        <v>23</v>
      </c>
      <c r="R16" s="6" t="s">
        <v>21</v>
      </c>
      <c r="S16" s="6" t="s">
        <v>21</v>
      </c>
      <c r="T16" s="6" t="s">
        <v>21</v>
      </c>
      <c r="U16" s="3"/>
      <c r="V16" s="6" t="s">
        <v>21</v>
      </c>
      <c r="W16" s="6" t="s">
        <v>21</v>
      </c>
      <c r="X16" s="6" t="s">
        <v>21</v>
      </c>
      <c r="Y16" s="6" t="s">
        <v>25</v>
      </c>
      <c r="Z16" s="6" t="s">
        <v>21</v>
      </c>
      <c r="AA16" s="6" t="s">
        <v>21</v>
      </c>
      <c r="AB16" s="3"/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3"/>
      <c r="AJ16" s="6" t="s">
        <v>21</v>
      </c>
      <c r="AK16" s="5">
        <f t="shared" si="2"/>
        <v>31</v>
      </c>
      <c r="AL16" s="4">
        <f t="shared" si="3"/>
        <v>1</v>
      </c>
      <c r="AM16" s="9">
        <f t="shared" si="4"/>
        <v>1</v>
      </c>
      <c r="AN16" s="4">
        <f t="shared" si="5"/>
        <v>0</v>
      </c>
      <c r="AO16" s="4">
        <f t="shared" si="6"/>
        <v>5</v>
      </c>
      <c r="AP16" s="40">
        <f t="shared" si="7"/>
        <v>24</v>
      </c>
    </row>
    <row r="17" spans="3:42" x14ac:dyDescent="0.25">
      <c r="C17" s="3">
        <v>1008</v>
      </c>
      <c r="D17" s="4" t="s">
        <v>8</v>
      </c>
      <c r="E17" s="4" t="s">
        <v>32</v>
      </c>
      <c r="F17" s="6" t="s">
        <v>21</v>
      </c>
      <c r="G17" s="6"/>
      <c r="H17" s="6" t="s">
        <v>21</v>
      </c>
      <c r="I17" s="6" t="s">
        <v>23</v>
      </c>
      <c r="J17" s="6" t="s">
        <v>21</v>
      </c>
      <c r="K17" s="6" t="s">
        <v>21</v>
      </c>
      <c r="L17" s="6" t="s">
        <v>21</v>
      </c>
      <c r="M17" s="6" t="s">
        <v>21</v>
      </c>
      <c r="N17" s="3"/>
      <c r="O17" s="6" t="s">
        <v>21</v>
      </c>
      <c r="P17" s="6" t="s">
        <v>21</v>
      </c>
      <c r="Q17" s="6" t="s">
        <v>21</v>
      </c>
      <c r="R17" s="6" t="s">
        <v>21</v>
      </c>
      <c r="S17" s="6" t="s">
        <v>21</v>
      </c>
      <c r="T17" s="6" t="s">
        <v>21</v>
      </c>
      <c r="U17" s="3"/>
      <c r="V17" s="6" t="s">
        <v>21</v>
      </c>
      <c r="W17" s="6" t="s">
        <v>21</v>
      </c>
      <c r="X17" s="6" t="s">
        <v>21</v>
      </c>
      <c r="Y17" s="6" t="s">
        <v>21</v>
      </c>
      <c r="Z17" s="6" t="s">
        <v>21</v>
      </c>
      <c r="AA17" s="6" t="s">
        <v>21</v>
      </c>
      <c r="AB17" s="3"/>
      <c r="AC17" s="6" t="s">
        <v>24</v>
      </c>
      <c r="AD17" s="6" t="s">
        <v>21</v>
      </c>
      <c r="AE17" s="6" t="s">
        <v>21</v>
      </c>
      <c r="AF17" s="6" t="s">
        <v>24</v>
      </c>
      <c r="AG17" s="6" t="s">
        <v>21</v>
      </c>
      <c r="AH17" s="6" t="s">
        <v>21</v>
      </c>
      <c r="AI17" s="3"/>
      <c r="AJ17" s="6" t="s">
        <v>21</v>
      </c>
      <c r="AK17" s="5">
        <f t="shared" si="2"/>
        <v>31</v>
      </c>
      <c r="AL17" s="4">
        <f t="shared" si="3"/>
        <v>1</v>
      </c>
      <c r="AM17" s="9">
        <f t="shared" si="4"/>
        <v>0</v>
      </c>
      <c r="AN17" s="4">
        <f t="shared" si="5"/>
        <v>2</v>
      </c>
      <c r="AO17" s="4">
        <f t="shared" si="6"/>
        <v>5</v>
      </c>
      <c r="AP17" s="40">
        <f t="shared" si="7"/>
        <v>23</v>
      </c>
    </row>
    <row r="18" spans="3:42" x14ac:dyDescent="0.25">
      <c r="C18" s="3">
        <v>1009</v>
      </c>
      <c r="D18" s="4" t="s">
        <v>9</v>
      </c>
      <c r="E18" s="4" t="s">
        <v>27</v>
      </c>
      <c r="F18" s="6" t="s">
        <v>21</v>
      </c>
      <c r="G18" s="6"/>
      <c r="H18" s="6" t="s">
        <v>21</v>
      </c>
      <c r="I18" s="6" t="s">
        <v>21</v>
      </c>
      <c r="J18" s="6" t="s">
        <v>21</v>
      </c>
      <c r="K18" s="6" t="s">
        <v>21</v>
      </c>
      <c r="L18" s="6" t="s">
        <v>24</v>
      </c>
      <c r="M18" s="6" t="s">
        <v>21</v>
      </c>
      <c r="N18" s="3"/>
      <c r="O18" s="6" t="s">
        <v>21</v>
      </c>
      <c r="P18" s="6" t="s">
        <v>21</v>
      </c>
      <c r="Q18" s="6" t="s">
        <v>21</v>
      </c>
      <c r="R18" s="6" t="s">
        <v>21</v>
      </c>
      <c r="S18" s="6" t="s">
        <v>21</v>
      </c>
      <c r="T18" s="6" t="s">
        <v>21</v>
      </c>
      <c r="U18" s="3"/>
      <c r="V18" s="6" t="s">
        <v>21</v>
      </c>
      <c r="W18" s="6" t="s">
        <v>21</v>
      </c>
      <c r="X18" s="6" t="s">
        <v>21</v>
      </c>
      <c r="Y18" s="6" t="s">
        <v>23</v>
      </c>
      <c r="Z18" s="6" t="s">
        <v>21</v>
      </c>
      <c r="AA18" s="6" t="s">
        <v>21</v>
      </c>
      <c r="AB18" s="3"/>
      <c r="AC18" s="6" t="s">
        <v>21</v>
      </c>
      <c r="AD18" s="6" t="s">
        <v>21</v>
      </c>
      <c r="AE18" s="6" t="s">
        <v>21</v>
      </c>
      <c r="AF18" s="6" t="s">
        <v>25</v>
      </c>
      <c r="AG18" s="6" t="s">
        <v>21</v>
      </c>
      <c r="AH18" s="6" t="s">
        <v>21</v>
      </c>
      <c r="AI18" s="3"/>
      <c r="AJ18" s="6" t="s">
        <v>21</v>
      </c>
      <c r="AK18" s="5">
        <f t="shared" si="2"/>
        <v>31</v>
      </c>
      <c r="AL18" s="4">
        <f t="shared" si="3"/>
        <v>1</v>
      </c>
      <c r="AM18" s="9">
        <f t="shared" si="4"/>
        <v>1</v>
      </c>
      <c r="AN18" s="4">
        <f t="shared" si="5"/>
        <v>1</v>
      </c>
      <c r="AO18" s="4">
        <f t="shared" si="6"/>
        <v>5</v>
      </c>
      <c r="AP18" s="40">
        <f t="shared" si="7"/>
        <v>23</v>
      </c>
    </row>
    <row r="19" spans="3:42" x14ac:dyDescent="0.25">
      <c r="C19" s="3">
        <v>1010</v>
      </c>
      <c r="D19" s="4" t="s">
        <v>10</v>
      </c>
      <c r="E19" s="4" t="s">
        <v>27</v>
      </c>
      <c r="F19" s="6" t="s">
        <v>21</v>
      </c>
      <c r="G19" s="6"/>
      <c r="H19" s="6" t="s">
        <v>21</v>
      </c>
      <c r="I19" s="6" t="s">
        <v>21</v>
      </c>
      <c r="J19" s="6" t="s">
        <v>21</v>
      </c>
      <c r="K19" s="6" t="s">
        <v>21</v>
      </c>
      <c r="L19" s="6" t="s">
        <v>21</v>
      </c>
      <c r="M19" s="6" t="s">
        <v>21</v>
      </c>
      <c r="N19" s="3"/>
      <c r="O19" s="6" t="s">
        <v>25</v>
      </c>
      <c r="P19" s="6" t="s">
        <v>21</v>
      </c>
      <c r="Q19" s="6" t="s">
        <v>21</v>
      </c>
      <c r="R19" s="6" t="s">
        <v>21</v>
      </c>
      <c r="S19" s="6" t="s">
        <v>21</v>
      </c>
      <c r="T19" s="6" t="s">
        <v>21</v>
      </c>
      <c r="U19" s="3"/>
      <c r="V19" s="6" t="s">
        <v>21</v>
      </c>
      <c r="W19" s="6" t="s">
        <v>21</v>
      </c>
      <c r="X19" s="6" t="s">
        <v>21</v>
      </c>
      <c r="Y19" s="6" t="s">
        <v>21</v>
      </c>
      <c r="Z19" s="6" t="s">
        <v>21</v>
      </c>
      <c r="AA19" s="6" t="s">
        <v>21</v>
      </c>
      <c r="AB19" s="3"/>
      <c r="AC19" s="6" t="s">
        <v>21</v>
      </c>
      <c r="AD19" s="6" t="s">
        <v>21</v>
      </c>
      <c r="AE19" s="6" t="s">
        <v>21</v>
      </c>
      <c r="AF19" s="6" t="s">
        <v>24</v>
      </c>
      <c r="AG19" s="6" t="s">
        <v>21</v>
      </c>
      <c r="AH19" s="6" t="s">
        <v>21</v>
      </c>
      <c r="AI19" s="3"/>
      <c r="AJ19" s="6" t="s">
        <v>21</v>
      </c>
      <c r="AK19" s="5">
        <f t="shared" si="2"/>
        <v>31</v>
      </c>
      <c r="AL19" s="4">
        <f t="shared" si="3"/>
        <v>0</v>
      </c>
      <c r="AM19" s="9">
        <f t="shared" si="4"/>
        <v>1</v>
      </c>
      <c r="AN19" s="4">
        <f t="shared" si="5"/>
        <v>1</v>
      </c>
      <c r="AO19" s="4">
        <f t="shared" si="6"/>
        <v>5</v>
      </c>
      <c r="AP19" s="40">
        <f t="shared" si="7"/>
        <v>24</v>
      </c>
    </row>
    <row r="20" spans="3:42" x14ac:dyDescent="0.25">
      <c r="C20" s="3">
        <v>1011</v>
      </c>
      <c r="D20" s="4" t="s">
        <v>11</v>
      </c>
      <c r="E20" s="4" t="s">
        <v>31</v>
      </c>
      <c r="F20" s="6" t="s">
        <v>21</v>
      </c>
      <c r="G20" s="6"/>
      <c r="H20" s="6" t="s">
        <v>21</v>
      </c>
      <c r="I20" s="6" t="s">
        <v>21</v>
      </c>
      <c r="J20" s="6" t="s">
        <v>21</v>
      </c>
      <c r="K20" s="6" t="s">
        <v>21</v>
      </c>
      <c r="L20" s="6" t="s">
        <v>21</v>
      </c>
      <c r="M20" s="6" t="s">
        <v>21</v>
      </c>
      <c r="N20" s="3"/>
      <c r="O20" s="6" t="s">
        <v>21</v>
      </c>
      <c r="P20" s="6" t="s">
        <v>25</v>
      </c>
      <c r="Q20" s="6" t="s">
        <v>21</v>
      </c>
      <c r="R20" s="6" t="s">
        <v>21</v>
      </c>
      <c r="S20" s="6" t="s">
        <v>21</v>
      </c>
      <c r="T20" s="6" t="s">
        <v>21</v>
      </c>
      <c r="U20" s="3"/>
      <c r="V20" s="6" t="s">
        <v>21</v>
      </c>
      <c r="W20" s="6" t="s">
        <v>21</v>
      </c>
      <c r="X20" s="6" t="s">
        <v>21</v>
      </c>
      <c r="Y20" s="6" t="s">
        <v>21</v>
      </c>
      <c r="Z20" s="6" t="s">
        <v>23</v>
      </c>
      <c r="AA20" s="6" t="s">
        <v>21</v>
      </c>
      <c r="AB20" s="3"/>
      <c r="AC20" s="6" t="s">
        <v>21</v>
      </c>
      <c r="AD20" s="6" t="s">
        <v>21</v>
      </c>
      <c r="AE20" s="6" t="s">
        <v>21</v>
      </c>
      <c r="AF20" s="6" t="s">
        <v>21</v>
      </c>
      <c r="AG20" s="6" t="s">
        <v>21</v>
      </c>
      <c r="AH20" s="6" t="s">
        <v>21</v>
      </c>
      <c r="AI20" s="3"/>
      <c r="AJ20" s="6" t="s">
        <v>21</v>
      </c>
      <c r="AK20" s="5">
        <f t="shared" si="2"/>
        <v>31</v>
      </c>
      <c r="AL20" s="4">
        <f t="shared" si="3"/>
        <v>1</v>
      </c>
      <c r="AM20" s="9">
        <f t="shared" si="4"/>
        <v>1</v>
      </c>
      <c r="AN20" s="4">
        <f t="shared" si="5"/>
        <v>0</v>
      </c>
      <c r="AO20" s="4">
        <f t="shared" si="6"/>
        <v>5</v>
      </c>
      <c r="AP20" s="40">
        <f t="shared" si="7"/>
        <v>24</v>
      </c>
    </row>
    <row r="21" spans="3:42" x14ac:dyDescent="0.25">
      <c r="C21" s="3">
        <v>1012</v>
      </c>
      <c r="D21" s="4" t="s">
        <v>12</v>
      </c>
      <c r="E21" s="4" t="s">
        <v>27</v>
      </c>
      <c r="F21" s="6" t="s">
        <v>21</v>
      </c>
      <c r="G21" s="6"/>
      <c r="H21" s="6" t="s">
        <v>21</v>
      </c>
      <c r="I21" s="6" t="s">
        <v>21</v>
      </c>
      <c r="J21" s="6" t="s">
        <v>21</v>
      </c>
      <c r="K21" s="6" t="s">
        <v>21</v>
      </c>
      <c r="L21" s="6" t="s">
        <v>21</v>
      </c>
      <c r="M21" s="6" t="s">
        <v>21</v>
      </c>
      <c r="N21" s="3"/>
      <c r="O21" s="6" t="s">
        <v>21</v>
      </c>
      <c r="P21" s="6" t="s">
        <v>21</v>
      </c>
      <c r="Q21" s="6" t="s">
        <v>21</v>
      </c>
      <c r="R21" s="6" t="s">
        <v>21</v>
      </c>
      <c r="S21" s="6" t="s">
        <v>21</v>
      </c>
      <c r="T21" s="6" t="s">
        <v>21</v>
      </c>
      <c r="U21" s="3"/>
      <c r="V21" s="6" t="s">
        <v>21</v>
      </c>
      <c r="W21" s="6" t="s">
        <v>21</v>
      </c>
      <c r="X21" s="6" t="s">
        <v>21</v>
      </c>
      <c r="Y21" s="6" t="s">
        <v>21</v>
      </c>
      <c r="Z21" s="6" t="s">
        <v>21</v>
      </c>
      <c r="AA21" s="6" t="s">
        <v>21</v>
      </c>
      <c r="AB21" s="3"/>
      <c r="AC21" s="6" t="s">
        <v>21</v>
      </c>
      <c r="AD21" s="6" t="s">
        <v>21</v>
      </c>
      <c r="AE21" s="6" t="s">
        <v>21</v>
      </c>
      <c r="AF21" s="6" t="s">
        <v>21</v>
      </c>
      <c r="AG21" s="6" t="s">
        <v>21</v>
      </c>
      <c r="AH21" s="6" t="s">
        <v>21</v>
      </c>
      <c r="AI21" s="3"/>
      <c r="AJ21" s="6" t="s">
        <v>21</v>
      </c>
      <c r="AK21" s="5">
        <f t="shared" si="2"/>
        <v>31</v>
      </c>
      <c r="AL21" s="4">
        <f t="shared" si="3"/>
        <v>0</v>
      </c>
      <c r="AM21" s="9">
        <f t="shared" si="4"/>
        <v>0</v>
      </c>
      <c r="AN21" s="4">
        <f t="shared" si="5"/>
        <v>0</v>
      </c>
      <c r="AO21" s="4">
        <f t="shared" si="6"/>
        <v>5</v>
      </c>
      <c r="AP21" s="40">
        <f t="shared" si="7"/>
        <v>26</v>
      </c>
    </row>
    <row r="42" spans="5:5" ht="15.75" x14ac:dyDescent="0.25">
      <c r="E42" s="43" t="s">
        <v>15</v>
      </c>
    </row>
    <row r="43" spans="5:5" x14ac:dyDescent="0.25">
      <c r="E43" t="s">
        <v>0</v>
      </c>
    </row>
    <row r="44" spans="5:5" x14ac:dyDescent="0.25">
      <c r="E44" t="s">
        <v>62</v>
      </c>
    </row>
    <row r="45" spans="5:5" x14ac:dyDescent="0.25">
      <c r="E45" t="s">
        <v>63</v>
      </c>
    </row>
    <row r="46" spans="5:5" x14ac:dyDescent="0.25">
      <c r="E46" t="s">
        <v>64</v>
      </c>
    </row>
    <row r="47" spans="5:5" x14ac:dyDescent="0.25">
      <c r="E47" t="s">
        <v>65</v>
      </c>
    </row>
    <row r="48" spans="5:5" x14ac:dyDescent="0.25">
      <c r="E48" t="s">
        <v>66</v>
      </c>
    </row>
    <row r="49" spans="5:5" x14ac:dyDescent="0.25">
      <c r="E49" t="s">
        <v>67</v>
      </c>
    </row>
    <row r="50" spans="5:5" x14ac:dyDescent="0.25">
      <c r="E50" t="s">
        <v>68</v>
      </c>
    </row>
    <row r="51" spans="5:5" x14ac:dyDescent="0.25">
      <c r="E51" t="s">
        <v>69</v>
      </c>
    </row>
    <row r="52" spans="5:5" x14ac:dyDescent="0.25">
      <c r="E52" t="s">
        <v>70</v>
      </c>
    </row>
    <row r="53" spans="5:5" x14ac:dyDescent="0.25">
      <c r="E53" t="s">
        <v>71</v>
      </c>
    </row>
    <row r="54" spans="5:5" x14ac:dyDescent="0.25">
      <c r="E54" t="s">
        <v>72</v>
      </c>
    </row>
  </sheetData>
  <mergeCells count="10">
    <mergeCell ref="C8:C9"/>
    <mergeCell ref="D8:D9"/>
    <mergeCell ref="AL8:AL9"/>
    <mergeCell ref="AM8:AM9"/>
    <mergeCell ref="AN8:AN9"/>
    <mergeCell ref="E5:AP7"/>
    <mergeCell ref="AO8:AO9"/>
    <mergeCell ref="E8:E9"/>
    <mergeCell ref="AP8:AP9"/>
    <mergeCell ref="AK8:AK9"/>
  </mergeCells>
  <phoneticPr fontId="8" type="noConversion"/>
  <conditionalFormatting sqref="F8:AJ9">
    <cfRule type="notContainsBlanks" dxfId="4" priority="6">
      <formula>LEN(TRIM(F8))&gt;0</formula>
    </cfRule>
  </conditionalFormatting>
  <conditionalFormatting sqref="F9:AJ21">
    <cfRule type="expression" dxfId="3" priority="8">
      <formula>F$9="Fri"</formula>
    </cfRule>
  </conditionalFormatting>
  <conditionalFormatting sqref="F10:AJ21">
    <cfRule type="containsText" dxfId="2" priority="1" operator="containsText" text="L">
      <formula>NOT(ISERROR(SEARCH("L",F10)))</formula>
    </cfRule>
    <cfRule type="containsText" dxfId="1" priority="2" operator="containsText" text="H">
      <formula>NOT(ISERROR(SEARCH("H",F10)))</formula>
    </cfRule>
    <cfRule type="containsText" dxfId="0" priority="3" operator="containsText" text="A">
      <formula>NOT(ISERROR(SEARCH("A",F10)))</formula>
    </cfRule>
  </conditionalFormatting>
  <dataValidations count="2">
    <dataValidation type="custom" allowBlank="1" showInputMessage="1" showErrorMessage="1" errorTitle="Friday" error="Entry  Not Allowed" sqref="F9:AJ21" xr:uid="{6255CECC-9C91-4790-99E7-966FFFD701EC}">
      <formula1>F$9&lt;&gt;"Fri"</formula1>
    </dataValidation>
    <dataValidation type="list" allowBlank="1" showInputMessage="1" showErrorMessage="1" sqref="C6" xr:uid="{4CE8F4B7-48D4-4A3A-B02C-1E8D7C8920E9}">
      <formula1>$E$43:$E$54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229A-D800-43E3-88BE-C8D1AC833A3C}">
  <dimension ref="B2:T18"/>
  <sheetViews>
    <sheetView topLeftCell="B1" zoomScaleNormal="100" workbookViewId="0">
      <selection activeCell="I18" sqref="I18"/>
    </sheetView>
  </sheetViews>
  <sheetFormatPr defaultRowHeight="15" x14ac:dyDescent="0.25"/>
  <cols>
    <col min="3" max="3" width="7.7109375" bestFit="1" customWidth="1"/>
    <col min="4" max="4" width="15.140625" bestFit="1" customWidth="1"/>
    <col min="5" max="5" width="11.5703125" customWidth="1"/>
    <col min="6" max="6" width="6.5703125" style="12" customWidth="1"/>
    <col min="7" max="7" width="10" bestFit="1" customWidth="1"/>
    <col min="8" max="8" width="14.7109375" customWidth="1"/>
    <col min="9" max="9" width="9.85546875" customWidth="1"/>
    <col min="10" max="10" width="8.7109375" customWidth="1"/>
    <col min="11" max="11" width="12" customWidth="1"/>
    <col min="12" max="12" width="6.85546875" customWidth="1"/>
    <col min="13" max="13" width="6" customWidth="1"/>
    <col min="14" max="14" width="11.5703125" customWidth="1"/>
    <col min="16" max="16" width="8.42578125" customWidth="1"/>
    <col min="17" max="17" width="7.140625" customWidth="1"/>
    <col min="18" max="18" width="10.5703125" customWidth="1"/>
    <col min="19" max="19" width="10.140625" bestFit="1" customWidth="1"/>
  </cols>
  <sheetData>
    <row r="2" spans="2:20" ht="18" customHeight="1" x14ac:dyDescent="0.25"/>
    <row r="3" spans="2:20" ht="26.25" customHeight="1" x14ac:dyDescent="0.25">
      <c r="E3" t="s">
        <v>49</v>
      </c>
    </row>
    <row r="4" spans="2:20" ht="23.25" customHeight="1" x14ac:dyDescent="0.25">
      <c r="C4" s="62" t="s">
        <v>14</v>
      </c>
      <c r="D4" s="62" t="s">
        <v>13</v>
      </c>
      <c r="E4" s="62" t="s">
        <v>26</v>
      </c>
      <c r="F4" s="76" t="s">
        <v>33</v>
      </c>
      <c r="G4" s="76" t="s">
        <v>19</v>
      </c>
      <c r="H4" s="76" t="s">
        <v>34</v>
      </c>
      <c r="I4" s="76" t="s">
        <v>41</v>
      </c>
      <c r="J4" s="76" t="s">
        <v>35</v>
      </c>
      <c r="K4" s="62" t="s">
        <v>47</v>
      </c>
      <c r="L4" s="62"/>
      <c r="M4" s="62"/>
      <c r="N4" s="62"/>
      <c r="O4" s="62"/>
      <c r="P4" s="62"/>
      <c r="Q4" s="73" t="s">
        <v>48</v>
      </c>
      <c r="R4" s="74"/>
      <c r="S4" s="75"/>
      <c r="T4" s="14"/>
    </row>
    <row r="5" spans="2:20" ht="45" x14ac:dyDescent="0.25">
      <c r="B5" s="1"/>
      <c r="C5" s="62"/>
      <c r="D5" s="62"/>
      <c r="E5" s="62"/>
      <c r="F5" s="76"/>
      <c r="G5" s="76"/>
      <c r="H5" s="76"/>
      <c r="I5" s="76"/>
      <c r="J5" s="76"/>
      <c r="K5" s="13" t="s">
        <v>36</v>
      </c>
      <c r="L5" s="13" t="s">
        <v>37</v>
      </c>
      <c r="M5" s="13" t="s">
        <v>38</v>
      </c>
      <c r="N5" s="13" t="s">
        <v>39</v>
      </c>
      <c r="O5" s="13" t="s">
        <v>40</v>
      </c>
      <c r="P5" s="13" t="s">
        <v>42</v>
      </c>
      <c r="Q5" s="13" t="s">
        <v>43</v>
      </c>
      <c r="R5" s="13" t="s">
        <v>44</v>
      </c>
      <c r="S5" s="13" t="s">
        <v>45</v>
      </c>
      <c r="T5" s="13" t="s">
        <v>46</v>
      </c>
    </row>
    <row r="6" spans="2:20" x14ac:dyDescent="0.25">
      <c r="C6" s="15">
        <f>Attendance_Sheet!C10</f>
        <v>1001</v>
      </c>
      <c r="D6" s="16" t="str">
        <f>Attendance_Sheet!D10</f>
        <v>John Smith</v>
      </c>
      <c r="E6" s="16" t="str">
        <f>Attendance_Sheet!E10</f>
        <v>SR</v>
      </c>
      <c r="F6" s="17">
        <v>18000</v>
      </c>
      <c r="G6" s="16">
        <f>Attendance_Sheet!AK10</f>
        <v>31</v>
      </c>
      <c r="H6" s="16">
        <f>SUM(Attendance_Sheet!AM10+(Attendance_Sheet!AN10/2)+Attendance_Sheet!AO10+Attendance_Sheet!AP10)</f>
        <v>30</v>
      </c>
      <c r="I6" s="18">
        <v>10</v>
      </c>
      <c r="J6" s="19">
        <f>F6/G6</f>
        <v>580.64516129032256</v>
      </c>
      <c r="K6" s="19">
        <f>J6*H6</f>
        <v>17419.354838709678</v>
      </c>
      <c r="L6" s="19">
        <f>F6*12%</f>
        <v>2160</v>
      </c>
      <c r="M6" s="19">
        <f>F6*40%</f>
        <v>7200</v>
      </c>
      <c r="N6" s="19">
        <f>F6*10%</f>
        <v>1800</v>
      </c>
      <c r="O6" s="19">
        <f>J6/8*I6</f>
        <v>725.80645161290317</v>
      </c>
      <c r="P6" s="19">
        <f>K6+L6+M6+N6+O6</f>
        <v>29305.16129032258</v>
      </c>
      <c r="Q6" s="16">
        <f>F6*5%</f>
        <v>900</v>
      </c>
      <c r="R6" s="16">
        <v>500</v>
      </c>
      <c r="S6" s="16">
        <f t="shared" ref="S6:S17" si="0">Q6+R6</f>
        <v>1400</v>
      </c>
      <c r="T6" s="19">
        <f t="shared" ref="T6:T17" si="1">P6-S6</f>
        <v>27905.16129032258</v>
      </c>
    </row>
    <row r="7" spans="2:20" x14ac:dyDescent="0.25">
      <c r="C7" s="15">
        <f>Attendance_Sheet!C11</f>
        <v>1002</v>
      </c>
      <c r="D7" s="16" t="str">
        <f>Attendance_Sheet!D11</f>
        <v>Sarah Johnson</v>
      </c>
      <c r="E7" s="16" t="str">
        <f>Attendance_Sheet!E11</f>
        <v>Manager</v>
      </c>
      <c r="F7" s="17">
        <v>40000</v>
      </c>
      <c r="G7" s="16">
        <f>Attendance_Sheet!AK11</f>
        <v>31</v>
      </c>
      <c r="H7" s="16">
        <f>SUM(Attendance_Sheet!AM11+(Attendance_Sheet!AN11/2)+Attendance_Sheet!AO11+Attendance_Sheet!AP11)</f>
        <v>30.5</v>
      </c>
      <c r="I7" s="18">
        <v>12</v>
      </c>
      <c r="J7" s="19">
        <f t="shared" ref="J7:J17" si="2">F7/G7</f>
        <v>1290.3225806451612</v>
      </c>
      <c r="K7" s="19">
        <f t="shared" ref="K7:K17" si="3">J7*H7</f>
        <v>39354.838709677417</v>
      </c>
      <c r="L7" s="19">
        <f t="shared" ref="L7:L17" si="4">F7*12%</f>
        <v>4800</v>
      </c>
      <c r="M7" s="19">
        <f t="shared" ref="M7:M17" si="5">F7*40%</f>
        <v>16000</v>
      </c>
      <c r="N7" s="19">
        <f t="shared" ref="N7:N17" si="6">F7*10%</f>
        <v>4000</v>
      </c>
      <c r="O7" s="19">
        <f t="shared" ref="O7:O17" si="7">J7/8*I7</f>
        <v>1935.483870967742</v>
      </c>
      <c r="P7" s="19">
        <f t="shared" ref="P7:P17" si="8">K7+L7+M7+N7+O7</f>
        <v>66090.322580645152</v>
      </c>
      <c r="Q7" s="16">
        <f t="shared" ref="Q7:Q17" si="9">F7*5%</f>
        <v>2000</v>
      </c>
      <c r="R7" s="16">
        <v>500</v>
      </c>
      <c r="S7" s="16">
        <f t="shared" si="0"/>
        <v>2500</v>
      </c>
      <c r="T7" s="19">
        <f t="shared" si="1"/>
        <v>63590.322580645152</v>
      </c>
    </row>
    <row r="8" spans="2:20" x14ac:dyDescent="0.25">
      <c r="C8" s="15">
        <f>Attendance_Sheet!C12</f>
        <v>1003</v>
      </c>
      <c r="D8" s="16" t="str">
        <f>Attendance_Sheet!D12</f>
        <v>Michael Brown</v>
      </c>
      <c r="E8" s="16" t="str">
        <f>Attendance_Sheet!E12</f>
        <v>SR</v>
      </c>
      <c r="F8" s="17">
        <v>18000</v>
      </c>
      <c r="G8" s="16">
        <f>Attendance_Sheet!AK12</f>
        <v>31</v>
      </c>
      <c r="H8" s="16">
        <f>SUM(Attendance_Sheet!AM12+(Attendance_Sheet!AN12/2)+Attendance_Sheet!AO12+Attendance_Sheet!AP12)</f>
        <v>31</v>
      </c>
      <c r="I8" s="18">
        <v>8</v>
      </c>
      <c r="J8" s="19">
        <f t="shared" si="2"/>
        <v>580.64516129032256</v>
      </c>
      <c r="K8" s="19">
        <f t="shared" si="3"/>
        <v>18000</v>
      </c>
      <c r="L8" s="19">
        <f t="shared" si="4"/>
        <v>2160</v>
      </c>
      <c r="M8" s="19">
        <f t="shared" si="5"/>
        <v>7200</v>
      </c>
      <c r="N8" s="19">
        <f t="shared" si="6"/>
        <v>1800</v>
      </c>
      <c r="O8" s="19">
        <f t="shared" si="7"/>
        <v>580.64516129032256</v>
      </c>
      <c r="P8" s="19">
        <f t="shared" si="8"/>
        <v>29740.645161290322</v>
      </c>
      <c r="Q8" s="16">
        <f t="shared" si="9"/>
        <v>900</v>
      </c>
      <c r="R8" s="16">
        <v>500</v>
      </c>
      <c r="S8" s="16">
        <f t="shared" si="0"/>
        <v>1400</v>
      </c>
      <c r="T8" s="19">
        <f t="shared" si="1"/>
        <v>28340.645161290322</v>
      </c>
    </row>
    <row r="9" spans="2:20" x14ac:dyDescent="0.25">
      <c r="C9" s="15">
        <f>Attendance_Sheet!C13</f>
        <v>1004</v>
      </c>
      <c r="D9" s="16" t="str">
        <f>Attendance_Sheet!D13</f>
        <v>Emily Davis</v>
      </c>
      <c r="E9" s="16" t="str">
        <f>Attendance_Sheet!E13</f>
        <v>DGM</v>
      </c>
      <c r="F9" s="17">
        <v>70000</v>
      </c>
      <c r="G9" s="16">
        <f>Attendance_Sheet!AK13</f>
        <v>31</v>
      </c>
      <c r="H9" s="16">
        <f>SUM(Attendance_Sheet!AM13+(Attendance_Sheet!AN13/2)+Attendance_Sheet!AO13+Attendance_Sheet!AP13)</f>
        <v>27.5</v>
      </c>
      <c r="I9" s="18">
        <v>6</v>
      </c>
      <c r="J9" s="19">
        <f t="shared" si="2"/>
        <v>2258.0645161290322</v>
      </c>
      <c r="K9" s="19">
        <f t="shared" si="3"/>
        <v>62096.774193548386</v>
      </c>
      <c r="L9" s="19">
        <f t="shared" si="4"/>
        <v>8400</v>
      </c>
      <c r="M9" s="19">
        <f t="shared" si="5"/>
        <v>28000</v>
      </c>
      <c r="N9" s="19">
        <f t="shared" si="6"/>
        <v>7000</v>
      </c>
      <c r="O9" s="19">
        <f t="shared" si="7"/>
        <v>1693.5483870967741</v>
      </c>
      <c r="P9" s="19">
        <f t="shared" si="8"/>
        <v>107190.32258064517</v>
      </c>
      <c r="Q9" s="16">
        <f t="shared" si="9"/>
        <v>3500</v>
      </c>
      <c r="R9" s="16">
        <v>500</v>
      </c>
      <c r="S9" s="16">
        <f t="shared" si="0"/>
        <v>4000</v>
      </c>
      <c r="T9" s="19">
        <f t="shared" si="1"/>
        <v>103190.32258064517</v>
      </c>
    </row>
    <row r="10" spans="2:20" x14ac:dyDescent="0.25">
      <c r="C10" s="15">
        <f>Attendance_Sheet!C14</f>
        <v>1005</v>
      </c>
      <c r="D10" s="16" t="str">
        <f>Attendance_Sheet!D14</f>
        <v>David Wilson</v>
      </c>
      <c r="E10" s="16" t="s">
        <v>27</v>
      </c>
      <c r="F10" s="17">
        <v>18000</v>
      </c>
      <c r="G10" s="16">
        <f>Attendance_Sheet!AK14</f>
        <v>31</v>
      </c>
      <c r="H10" s="16">
        <f>SUM(Attendance_Sheet!AM14+(Attendance_Sheet!AN14/2)+Attendance_Sheet!AO14+Attendance_Sheet!AP14)</f>
        <v>31</v>
      </c>
      <c r="I10" s="18">
        <v>3</v>
      </c>
      <c r="J10" s="19">
        <f t="shared" si="2"/>
        <v>580.64516129032256</v>
      </c>
      <c r="K10" s="19">
        <f t="shared" si="3"/>
        <v>18000</v>
      </c>
      <c r="L10" s="19">
        <f t="shared" si="4"/>
        <v>2160</v>
      </c>
      <c r="M10" s="19">
        <f t="shared" si="5"/>
        <v>7200</v>
      </c>
      <c r="N10" s="19">
        <f t="shared" si="6"/>
        <v>1800</v>
      </c>
      <c r="O10" s="19">
        <f t="shared" si="7"/>
        <v>217.74193548387098</v>
      </c>
      <c r="P10" s="19">
        <f t="shared" si="8"/>
        <v>29377.741935483871</v>
      </c>
      <c r="Q10" s="16">
        <f t="shared" si="9"/>
        <v>900</v>
      </c>
      <c r="R10" s="16">
        <v>500</v>
      </c>
      <c r="S10" s="16">
        <f t="shared" si="0"/>
        <v>1400</v>
      </c>
      <c r="T10" s="19">
        <f t="shared" si="1"/>
        <v>27977.741935483871</v>
      </c>
    </row>
    <row r="11" spans="2:20" x14ac:dyDescent="0.25">
      <c r="C11" s="15">
        <f>Attendance_Sheet!C15</f>
        <v>1006</v>
      </c>
      <c r="D11" s="16" t="str">
        <f>Attendance_Sheet!D15</f>
        <v>Jessica Taylor</v>
      </c>
      <c r="E11" s="16" t="str">
        <f>Attendance_Sheet!E15</f>
        <v>ASM</v>
      </c>
      <c r="F11" s="17">
        <v>30000</v>
      </c>
      <c r="G11" s="16">
        <f>Attendance_Sheet!AK15</f>
        <v>31</v>
      </c>
      <c r="H11" s="16">
        <f>SUM(Attendance_Sheet!AM15+(Attendance_Sheet!AN15/2)+Attendance_Sheet!AO15+Attendance_Sheet!AP15)</f>
        <v>31</v>
      </c>
      <c r="I11" s="18">
        <v>15</v>
      </c>
      <c r="J11" s="19">
        <f t="shared" si="2"/>
        <v>967.74193548387098</v>
      </c>
      <c r="K11" s="19">
        <f t="shared" si="3"/>
        <v>30000</v>
      </c>
      <c r="L11" s="19">
        <f t="shared" si="4"/>
        <v>3600</v>
      </c>
      <c r="M11" s="19">
        <f t="shared" si="5"/>
        <v>12000</v>
      </c>
      <c r="N11" s="19">
        <f t="shared" si="6"/>
        <v>3000</v>
      </c>
      <c r="O11" s="19">
        <f t="shared" si="7"/>
        <v>1814.516129032258</v>
      </c>
      <c r="P11" s="19">
        <f t="shared" si="8"/>
        <v>50414.516129032258</v>
      </c>
      <c r="Q11" s="16">
        <f t="shared" si="9"/>
        <v>1500</v>
      </c>
      <c r="R11" s="16">
        <v>500</v>
      </c>
      <c r="S11" s="16">
        <f t="shared" si="0"/>
        <v>2000</v>
      </c>
      <c r="T11" s="19">
        <f t="shared" si="1"/>
        <v>48414.516129032258</v>
      </c>
    </row>
    <row r="12" spans="2:20" x14ac:dyDescent="0.25">
      <c r="C12" s="15">
        <f>Attendance_Sheet!C16</f>
        <v>1007</v>
      </c>
      <c r="D12" s="16" t="str">
        <f>Attendance_Sheet!D16</f>
        <v>Robert Thomas</v>
      </c>
      <c r="E12" s="16" t="str">
        <f>Attendance_Sheet!E16</f>
        <v>SR</v>
      </c>
      <c r="F12" s="17">
        <v>18000</v>
      </c>
      <c r="G12" s="16">
        <f>Attendance_Sheet!AK16</f>
        <v>31</v>
      </c>
      <c r="H12" s="16">
        <f>SUM(Attendance_Sheet!AM16+(Attendance_Sheet!AN16/2)+Attendance_Sheet!AO16+Attendance_Sheet!AP16)</f>
        <v>30</v>
      </c>
      <c r="I12" s="18">
        <v>13</v>
      </c>
      <c r="J12" s="19">
        <f t="shared" si="2"/>
        <v>580.64516129032256</v>
      </c>
      <c r="K12" s="19">
        <f t="shared" si="3"/>
        <v>17419.354838709678</v>
      </c>
      <c r="L12" s="19">
        <f t="shared" si="4"/>
        <v>2160</v>
      </c>
      <c r="M12" s="19">
        <f t="shared" si="5"/>
        <v>7200</v>
      </c>
      <c r="N12" s="19">
        <f t="shared" si="6"/>
        <v>1800</v>
      </c>
      <c r="O12" s="19">
        <f t="shared" si="7"/>
        <v>943.54838709677415</v>
      </c>
      <c r="P12" s="19">
        <f t="shared" si="8"/>
        <v>29522.903225806451</v>
      </c>
      <c r="Q12" s="16">
        <f t="shared" si="9"/>
        <v>900</v>
      </c>
      <c r="R12" s="16">
        <v>500</v>
      </c>
      <c r="S12" s="16">
        <f t="shared" si="0"/>
        <v>1400</v>
      </c>
      <c r="T12" s="19">
        <f t="shared" si="1"/>
        <v>28122.903225806451</v>
      </c>
    </row>
    <row r="13" spans="2:20" x14ac:dyDescent="0.25">
      <c r="C13" s="15">
        <f>Attendance_Sheet!C17</f>
        <v>1008</v>
      </c>
      <c r="D13" s="16" t="str">
        <f>Attendance_Sheet!D17</f>
        <v>Linda Martinez</v>
      </c>
      <c r="E13" s="16" t="str">
        <f>Attendance_Sheet!E17</f>
        <v>TSM</v>
      </c>
      <c r="F13" s="17">
        <v>25000</v>
      </c>
      <c r="G13" s="16">
        <f>Attendance_Sheet!AK17</f>
        <v>31</v>
      </c>
      <c r="H13" s="16">
        <f>SUM(Attendance_Sheet!AM17+(Attendance_Sheet!AN17/2)+Attendance_Sheet!AO17+Attendance_Sheet!AP17)</f>
        <v>29</v>
      </c>
      <c r="I13" s="18">
        <v>9</v>
      </c>
      <c r="J13" s="19">
        <f t="shared" si="2"/>
        <v>806.45161290322585</v>
      </c>
      <c r="K13" s="19">
        <f t="shared" si="3"/>
        <v>23387.096774193549</v>
      </c>
      <c r="L13" s="19">
        <f t="shared" si="4"/>
        <v>3000</v>
      </c>
      <c r="M13" s="19">
        <f t="shared" si="5"/>
        <v>10000</v>
      </c>
      <c r="N13" s="19">
        <f t="shared" si="6"/>
        <v>2500</v>
      </c>
      <c r="O13" s="19">
        <f t="shared" si="7"/>
        <v>907.25806451612902</v>
      </c>
      <c r="P13" s="19">
        <f t="shared" si="8"/>
        <v>39794.354838709674</v>
      </c>
      <c r="Q13" s="16">
        <f t="shared" si="9"/>
        <v>1250</v>
      </c>
      <c r="R13" s="16">
        <v>500</v>
      </c>
      <c r="S13" s="16">
        <f t="shared" si="0"/>
        <v>1750</v>
      </c>
      <c r="T13" s="19">
        <f t="shared" si="1"/>
        <v>38044.354838709674</v>
      </c>
    </row>
    <row r="14" spans="2:20" x14ac:dyDescent="0.25">
      <c r="C14" s="15">
        <f>Attendance_Sheet!C18</f>
        <v>1009</v>
      </c>
      <c r="D14" s="16" t="str">
        <f>Attendance_Sheet!D18</f>
        <v>Sarah Ali</v>
      </c>
      <c r="E14" s="16" t="str">
        <f>Attendance_Sheet!E18</f>
        <v>SR</v>
      </c>
      <c r="F14" s="17">
        <v>18000</v>
      </c>
      <c r="G14" s="16">
        <f>Attendance_Sheet!AK18</f>
        <v>31</v>
      </c>
      <c r="H14" s="16">
        <f>SUM(Attendance_Sheet!AM18+(Attendance_Sheet!AN18/2)+Attendance_Sheet!AO18+Attendance_Sheet!AP18)</f>
        <v>29.5</v>
      </c>
      <c r="I14" s="18">
        <v>10</v>
      </c>
      <c r="J14" s="19">
        <f t="shared" si="2"/>
        <v>580.64516129032256</v>
      </c>
      <c r="K14" s="19">
        <f t="shared" si="3"/>
        <v>17129.032258064515</v>
      </c>
      <c r="L14" s="19">
        <f t="shared" si="4"/>
        <v>2160</v>
      </c>
      <c r="M14" s="19">
        <f t="shared" si="5"/>
        <v>7200</v>
      </c>
      <c r="N14" s="19">
        <f t="shared" si="6"/>
        <v>1800</v>
      </c>
      <c r="O14" s="19">
        <f t="shared" si="7"/>
        <v>725.80645161290317</v>
      </c>
      <c r="P14" s="19">
        <f t="shared" si="8"/>
        <v>29014.838709677417</v>
      </c>
      <c r="Q14" s="16">
        <f t="shared" si="9"/>
        <v>900</v>
      </c>
      <c r="R14" s="16">
        <v>500</v>
      </c>
      <c r="S14" s="16">
        <f t="shared" si="0"/>
        <v>1400</v>
      </c>
      <c r="T14" s="19">
        <f t="shared" si="1"/>
        <v>27614.838709677417</v>
      </c>
    </row>
    <row r="15" spans="2:20" x14ac:dyDescent="0.25">
      <c r="C15" s="15">
        <f>Attendance_Sheet!C19</f>
        <v>1010</v>
      </c>
      <c r="D15" s="16" t="str">
        <f>Attendance_Sheet!D19</f>
        <v>Daniyel Jack</v>
      </c>
      <c r="E15" s="16" t="str">
        <f>Attendance_Sheet!E19</f>
        <v>SR</v>
      </c>
      <c r="F15" s="17">
        <v>18000</v>
      </c>
      <c r="G15" s="16">
        <f>Attendance_Sheet!AK19</f>
        <v>31</v>
      </c>
      <c r="H15" s="16">
        <f>SUM(Attendance_Sheet!AM19+(Attendance_Sheet!AN19/2)+Attendance_Sheet!AO19+Attendance_Sheet!AP19)</f>
        <v>30.5</v>
      </c>
      <c r="I15" s="18">
        <v>5</v>
      </c>
      <c r="J15" s="19">
        <f t="shared" si="2"/>
        <v>580.64516129032256</v>
      </c>
      <c r="K15" s="19">
        <f t="shared" si="3"/>
        <v>17709.677419354837</v>
      </c>
      <c r="L15" s="19">
        <f t="shared" si="4"/>
        <v>2160</v>
      </c>
      <c r="M15" s="19">
        <f t="shared" si="5"/>
        <v>7200</v>
      </c>
      <c r="N15" s="19">
        <f t="shared" si="6"/>
        <v>1800</v>
      </c>
      <c r="O15" s="19">
        <f t="shared" si="7"/>
        <v>362.90322580645159</v>
      </c>
      <c r="P15" s="19">
        <f t="shared" si="8"/>
        <v>29232.580645161288</v>
      </c>
      <c r="Q15" s="16">
        <f t="shared" si="9"/>
        <v>900</v>
      </c>
      <c r="R15" s="16">
        <v>500</v>
      </c>
      <c r="S15" s="16">
        <f t="shared" si="0"/>
        <v>1400</v>
      </c>
      <c r="T15" s="19">
        <f t="shared" si="1"/>
        <v>27832.580645161288</v>
      </c>
    </row>
    <row r="16" spans="2:20" x14ac:dyDescent="0.25">
      <c r="C16" s="15">
        <f>Attendance_Sheet!C20</f>
        <v>1011</v>
      </c>
      <c r="D16" s="16" t="str">
        <f>Attendance_Sheet!D20</f>
        <v>Mira Khan</v>
      </c>
      <c r="E16" s="16" t="str">
        <f>Attendance_Sheet!E20</f>
        <v>ASM</v>
      </c>
      <c r="F16" s="17">
        <v>30000</v>
      </c>
      <c r="G16" s="16">
        <f>Attendance_Sheet!AK20</f>
        <v>31</v>
      </c>
      <c r="H16" s="16">
        <f>SUM(Attendance_Sheet!AM20+(Attendance_Sheet!AN20/2)+Attendance_Sheet!AO20+Attendance_Sheet!AP20)</f>
        <v>30</v>
      </c>
      <c r="I16" s="18">
        <v>7</v>
      </c>
      <c r="J16" s="19">
        <f t="shared" si="2"/>
        <v>967.74193548387098</v>
      </c>
      <c r="K16" s="19">
        <f t="shared" si="3"/>
        <v>29032.258064516129</v>
      </c>
      <c r="L16" s="19">
        <f t="shared" si="4"/>
        <v>3600</v>
      </c>
      <c r="M16" s="19">
        <f t="shared" si="5"/>
        <v>12000</v>
      </c>
      <c r="N16" s="19">
        <f t="shared" si="6"/>
        <v>3000</v>
      </c>
      <c r="O16" s="19">
        <f t="shared" si="7"/>
        <v>846.77419354838707</v>
      </c>
      <c r="P16" s="19">
        <f t="shared" si="8"/>
        <v>48479.032258064515</v>
      </c>
      <c r="Q16" s="16">
        <f t="shared" si="9"/>
        <v>1500</v>
      </c>
      <c r="R16" s="16">
        <v>500</v>
      </c>
      <c r="S16" s="16">
        <f t="shared" si="0"/>
        <v>2000</v>
      </c>
      <c r="T16" s="19">
        <f t="shared" si="1"/>
        <v>46479.032258064515</v>
      </c>
    </row>
    <row r="17" spans="3:20" x14ac:dyDescent="0.25">
      <c r="C17" s="15">
        <f>Attendance_Sheet!C21</f>
        <v>1012</v>
      </c>
      <c r="D17" s="16" t="str">
        <f>Attendance_Sheet!D21</f>
        <v>Andron Danish</v>
      </c>
      <c r="E17" s="16" t="str">
        <f>Attendance_Sheet!E21</f>
        <v>SR</v>
      </c>
      <c r="F17" s="17">
        <v>18000</v>
      </c>
      <c r="G17" s="16">
        <f>Attendance_Sheet!AK21</f>
        <v>31</v>
      </c>
      <c r="H17" s="16">
        <f>SUM(Attendance_Sheet!AM21+(Attendance_Sheet!AN21/2)+Attendance_Sheet!AO21+Attendance_Sheet!AP21)</f>
        <v>31</v>
      </c>
      <c r="I17" s="18">
        <v>16</v>
      </c>
      <c r="J17" s="19">
        <f t="shared" si="2"/>
        <v>580.64516129032256</v>
      </c>
      <c r="K17" s="19">
        <f t="shared" si="3"/>
        <v>18000</v>
      </c>
      <c r="L17" s="19">
        <f t="shared" si="4"/>
        <v>2160</v>
      </c>
      <c r="M17" s="19">
        <f t="shared" si="5"/>
        <v>7200</v>
      </c>
      <c r="N17" s="19">
        <f t="shared" si="6"/>
        <v>1800</v>
      </c>
      <c r="O17" s="19">
        <f t="shared" si="7"/>
        <v>1161.2903225806451</v>
      </c>
      <c r="P17" s="19">
        <f t="shared" si="8"/>
        <v>30321.290322580644</v>
      </c>
      <c r="Q17" s="16">
        <f t="shared" si="9"/>
        <v>900</v>
      </c>
      <c r="R17" s="16">
        <v>500</v>
      </c>
      <c r="S17" s="16">
        <f t="shared" si="0"/>
        <v>1400</v>
      </c>
      <c r="T17" s="19">
        <f t="shared" si="1"/>
        <v>28921.290322580644</v>
      </c>
    </row>
    <row r="18" spans="3:20" x14ac:dyDescent="0.25"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</sheetData>
  <mergeCells count="10">
    <mergeCell ref="Q4:S4"/>
    <mergeCell ref="I4:I5"/>
    <mergeCell ref="J4:J5"/>
    <mergeCell ref="K4:P4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2EB-FF1B-493D-A635-FC97B98B6C35}">
  <dimension ref="B2:G24"/>
  <sheetViews>
    <sheetView tabSelected="1" zoomScale="115" zoomScaleNormal="115" workbookViewId="0">
      <selection activeCell="D8" sqref="D8"/>
    </sheetView>
  </sheetViews>
  <sheetFormatPr defaultRowHeight="15" x14ac:dyDescent="0.25"/>
  <cols>
    <col min="3" max="3" width="20" bestFit="1" customWidth="1"/>
    <col min="4" max="4" width="19" customWidth="1"/>
    <col min="5" max="5" width="18.7109375" customWidth="1"/>
    <col min="6" max="6" width="18.85546875" customWidth="1"/>
  </cols>
  <sheetData>
    <row r="2" spans="2:7" x14ac:dyDescent="0.25">
      <c r="B2" s="26"/>
      <c r="C2" s="27"/>
      <c r="D2" s="27"/>
      <c r="E2" s="27"/>
      <c r="F2" s="27"/>
      <c r="G2" s="28"/>
    </row>
    <row r="3" spans="2:7" x14ac:dyDescent="0.25">
      <c r="B3" s="29"/>
      <c r="C3" s="30"/>
      <c r="D3" s="30"/>
      <c r="E3" s="30"/>
      <c r="F3" s="30"/>
      <c r="G3" s="31"/>
    </row>
    <row r="4" spans="2:7" ht="18.75" x14ac:dyDescent="0.3">
      <c r="B4" s="29"/>
      <c r="C4" s="47" t="s">
        <v>60</v>
      </c>
      <c r="D4" s="48"/>
      <c r="E4" s="48"/>
      <c r="F4" s="48"/>
      <c r="G4" s="31"/>
    </row>
    <row r="5" spans="2:7" x14ac:dyDescent="0.25">
      <c r="B5" s="29"/>
      <c r="C5" s="44" t="s">
        <v>50</v>
      </c>
      <c r="D5" s="44"/>
      <c r="E5" s="44"/>
      <c r="F5" s="44"/>
      <c r="G5" s="31"/>
    </row>
    <row r="6" spans="2:7" x14ac:dyDescent="0.25">
      <c r="B6" s="29"/>
      <c r="C6" s="49" t="str">
        <f>"Salary Slip-"&amp;Attendance_Sheet!C6&amp;" "&amp;Attendance_Sheet!D6</f>
        <v>Salary Slip-January 2026</v>
      </c>
      <c r="D6" s="44"/>
      <c r="E6" s="44"/>
      <c r="F6" s="44"/>
      <c r="G6" s="31"/>
    </row>
    <row r="7" spans="2:7" x14ac:dyDescent="0.25">
      <c r="B7" s="29"/>
      <c r="C7" s="30"/>
      <c r="D7" s="30"/>
      <c r="E7" s="30"/>
      <c r="F7" s="30"/>
      <c r="G7" s="31"/>
    </row>
    <row r="8" spans="2:7" x14ac:dyDescent="0.25">
      <c r="B8" s="29"/>
      <c r="C8" s="22" t="s">
        <v>14</v>
      </c>
      <c r="D8" s="23">
        <v>1004</v>
      </c>
      <c r="E8" s="22" t="s">
        <v>26</v>
      </c>
      <c r="F8" s="23" t="str">
        <f>IFERROR(VLOOKUP(Salary_Slip!D8,Salary_Sheet!C4:T17,3,FALSE),"")</f>
        <v>DGM</v>
      </c>
      <c r="G8" s="31"/>
    </row>
    <row r="9" spans="2:7" x14ac:dyDescent="0.25">
      <c r="B9" s="29"/>
      <c r="C9" s="22" t="s">
        <v>13</v>
      </c>
      <c r="D9" s="23" t="str">
        <f>IFERROR(VLOOKUP(D8,Salary_Sheet!C4:T17,2,FALSE),"")</f>
        <v>Emily Davis</v>
      </c>
      <c r="E9" s="22" t="s">
        <v>56</v>
      </c>
      <c r="F9" s="24">
        <f ca="1">TODAY()</f>
        <v>46281</v>
      </c>
      <c r="G9" s="31"/>
    </row>
    <row r="10" spans="2:7" x14ac:dyDescent="0.25">
      <c r="B10" s="29"/>
      <c r="C10" s="30"/>
      <c r="D10" s="30"/>
      <c r="E10" s="30"/>
      <c r="F10" s="30"/>
      <c r="G10" s="31"/>
    </row>
    <row r="11" spans="2:7" x14ac:dyDescent="0.25">
      <c r="B11" s="29"/>
      <c r="C11" s="50" t="s">
        <v>51</v>
      </c>
      <c r="D11" s="50"/>
      <c r="E11" s="50" t="s">
        <v>52</v>
      </c>
      <c r="F11" s="50"/>
      <c r="G11" s="31"/>
    </row>
    <row r="12" spans="2:7" x14ac:dyDescent="0.25">
      <c r="B12" s="29"/>
      <c r="C12" s="22" t="s">
        <v>53</v>
      </c>
      <c r="D12" s="25">
        <f>IFERROR(VLOOKUP(D8,Salary_Sheet!C4:T17,9,FALSE),"")</f>
        <v>62096.774193548386</v>
      </c>
      <c r="E12" s="22" t="s">
        <v>43</v>
      </c>
      <c r="F12" s="25">
        <f>IFERROR(VLOOKUP(D8,Salary_Sheet!C4:T17,15,FALSE),"")</f>
        <v>3500</v>
      </c>
      <c r="G12" s="31"/>
    </row>
    <row r="13" spans="2:7" x14ac:dyDescent="0.25">
      <c r="B13" s="29"/>
      <c r="C13" s="22" t="s">
        <v>37</v>
      </c>
      <c r="D13" s="25">
        <f>IFERROR(VLOOKUP(D8,Salary_Sheet!C4:T17,10,FALSE),"")</f>
        <v>8400</v>
      </c>
      <c r="E13" s="22" t="s">
        <v>55</v>
      </c>
      <c r="F13" s="25">
        <f>IFERROR(VLOOKUP(D8,Salary_Sheet!C4:T17,16,FALSE),"")</f>
        <v>500</v>
      </c>
      <c r="G13" s="31"/>
    </row>
    <row r="14" spans="2:7" x14ac:dyDescent="0.25">
      <c r="B14" s="29"/>
      <c r="C14" s="22" t="s">
        <v>38</v>
      </c>
      <c r="D14" s="25">
        <f>IFERROR(VLOOKUP(D8,Salary_Sheet!C4:T17,11,FALSE),"")</f>
        <v>28000</v>
      </c>
      <c r="E14" s="22"/>
      <c r="F14" s="23"/>
      <c r="G14" s="31"/>
    </row>
    <row r="15" spans="2:7" x14ac:dyDescent="0.25">
      <c r="B15" s="29"/>
      <c r="C15" s="22" t="s">
        <v>39</v>
      </c>
      <c r="D15" s="25">
        <f>IFERROR(VLOOKUP(D8,Salary_Sheet!C4:T17,12,FALSE),"")</f>
        <v>7000</v>
      </c>
      <c r="E15" s="22"/>
      <c r="F15" s="23"/>
      <c r="G15" s="31"/>
    </row>
    <row r="16" spans="2:7" x14ac:dyDescent="0.25">
      <c r="B16" s="29"/>
      <c r="C16" s="22" t="s">
        <v>54</v>
      </c>
      <c r="D16" s="25">
        <f>IFERROR(VLOOKUP(D8,Salary_Sheet!C4:T17,13,FALSE),"")</f>
        <v>1693.5483870967741</v>
      </c>
      <c r="E16" s="22"/>
      <c r="F16" s="23"/>
      <c r="G16" s="31"/>
    </row>
    <row r="17" spans="2:7" x14ac:dyDescent="0.25">
      <c r="B17" s="29"/>
      <c r="C17" s="41" t="s">
        <v>59</v>
      </c>
      <c r="D17" s="42">
        <f>IFERROR(VLOOKUP(D8,Salary_Sheet!C4:T17,14),"")</f>
        <v>107190.32258064517</v>
      </c>
      <c r="E17" s="42" t="s">
        <v>73</v>
      </c>
      <c r="F17" s="42">
        <f>IFERROR(VLOOKUP(D8,Salary_Sheet!C4:T17,17),"")</f>
        <v>4000</v>
      </c>
      <c r="G17" s="31"/>
    </row>
    <row r="18" spans="2:7" x14ac:dyDescent="0.25">
      <c r="B18" s="29"/>
      <c r="C18" s="30"/>
      <c r="D18" s="30"/>
      <c r="E18" s="30"/>
      <c r="F18" s="30"/>
      <c r="G18" s="31"/>
    </row>
    <row r="19" spans="2:7" x14ac:dyDescent="0.25">
      <c r="B19" s="29"/>
      <c r="C19" s="45" t="s">
        <v>46</v>
      </c>
      <c r="D19" s="45"/>
      <c r="E19" s="46">
        <f>IFERROR(VLOOKUP(D8,Salary_Sheet!C4:T17,18),"")</f>
        <v>103190.32258064517</v>
      </c>
      <c r="F19" s="45"/>
      <c r="G19" s="31"/>
    </row>
    <row r="20" spans="2:7" x14ac:dyDescent="0.25">
      <c r="B20" s="29"/>
      <c r="C20" s="30"/>
      <c r="D20" s="30"/>
      <c r="E20" s="30"/>
      <c r="F20" s="30"/>
      <c r="G20" s="31"/>
    </row>
    <row r="21" spans="2:7" x14ac:dyDescent="0.25">
      <c r="B21" s="29"/>
      <c r="C21" s="30"/>
      <c r="D21" s="30"/>
      <c r="E21" s="30"/>
      <c r="F21" s="30"/>
      <c r="G21" s="31"/>
    </row>
    <row r="22" spans="2:7" x14ac:dyDescent="0.25">
      <c r="B22" s="29"/>
      <c r="C22" s="44" t="s">
        <v>57</v>
      </c>
      <c r="D22" s="44"/>
      <c r="E22" s="44" t="s">
        <v>58</v>
      </c>
      <c r="F22" s="44"/>
      <c r="G22" s="31"/>
    </row>
    <row r="23" spans="2:7" x14ac:dyDescent="0.25">
      <c r="B23" s="29"/>
      <c r="C23" s="30"/>
      <c r="D23" s="30"/>
      <c r="E23" s="30"/>
      <c r="F23" s="30"/>
      <c r="G23" s="31"/>
    </row>
    <row r="24" spans="2:7" x14ac:dyDescent="0.25">
      <c r="B24" s="32"/>
      <c r="C24" s="33"/>
      <c r="D24" s="33"/>
      <c r="E24" s="33"/>
      <c r="F24" s="33"/>
      <c r="G24" s="34"/>
    </row>
  </sheetData>
  <mergeCells count="9">
    <mergeCell ref="C22:D22"/>
    <mergeCell ref="E22:F22"/>
    <mergeCell ref="C19:D19"/>
    <mergeCell ref="E19:F19"/>
    <mergeCell ref="C4:F4"/>
    <mergeCell ref="C5:F5"/>
    <mergeCell ref="C6:F6"/>
    <mergeCell ref="C11:D11"/>
    <mergeCell ref="E11:F11"/>
  </mergeCells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4125B1-06A9-46A0-B150-8FBCA80704D3}">
          <x14:formula1>
            <xm:f>Salary_Sheet!$C$6:$C$17</xm:f>
          </x14:formula1>
          <xm:sqref>D8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Attendance_Sheet</vt:lpstr>
      <vt:lpstr>Salary_Sheet</vt:lpstr>
      <vt:lpstr>Salary_Slip</vt:lpstr>
      <vt:lpstr>Salary_Slip!Print_Area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Sanaul Habib</dc:creator>
  <cp:lastModifiedBy>Sanaul Habib</cp:lastModifiedBy>
  <cp:lastPrinted>2026-09-15T04:26:45Z</cp:lastPrinted>
  <dcterms:created xsi:type="dcterms:W3CDTF">2015-06-05T18:17:20Z</dcterms:created>
  <dcterms:modified xsi:type="dcterms:W3CDTF">2026-09-16T02:29:26Z</dcterms:modified>
</cp:coreProperties>
</file>